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fc1fc4d0c3d076/바탕 화면/가상육성기/"/>
    </mc:Choice>
  </mc:AlternateContent>
  <xr:revisionPtr revIDLastSave="1403" documentId="8_{BB001725-052E-471A-AEAF-4EFB4A4064C3}" xr6:coauthVersionLast="47" xr6:coauthVersionMax="47" xr10:uidLastSave="{2265C33D-3690-43E8-8C0C-67EF4F19EFB3}"/>
  <bookViews>
    <workbookView xWindow="-120" yWindow="-120" windowWidth="29040" windowHeight="15720" activeTab="1" xr2:uid="{87B9FB09-C1DD-422B-8452-C604D74272F1}"/>
  </bookViews>
  <sheets>
    <sheet name="스탯계산기" sheetId="1" r:id="rId1"/>
    <sheet name="커리어계산기" sheetId="6" r:id="rId2"/>
    <sheet name="스킬정보" sheetId="2" r:id="rId3"/>
    <sheet name="등급정보" sheetId="4" r:id="rId4"/>
    <sheet name="커리어 정보" sheetId="3" r:id="rId5"/>
    <sheet name="기본정보" sheetId="5" r:id="rId6"/>
  </sheets>
  <definedNames>
    <definedName name="타자스킬">스킬정보!$K$2:$K$44</definedName>
    <definedName name="투수스킬">스킬정보!$A$2:$A$36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9" i="1"/>
  <c r="D30" i="1"/>
  <c r="M28" i="3"/>
  <c r="L28" i="3"/>
  <c r="K28" i="3"/>
  <c r="J28" i="3"/>
  <c r="I28" i="3"/>
  <c r="H28" i="3"/>
  <c r="G28" i="3"/>
  <c r="P31" i="1"/>
  <c r="B37" i="1"/>
  <c r="E25" i="1"/>
  <c r="E26" i="1" s="1"/>
  <c r="B32" i="1" s="1"/>
  <c r="C25" i="1"/>
  <c r="C26" i="1" s="1"/>
  <c r="C28" i="1"/>
  <c r="F26" i="1"/>
  <c r="E15" i="1"/>
  <c r="B34" i="1"/>
  <c r="C34" i="1" s="1"/>
  <c r="I15" i="1"/>
  <c r="H15" i="1"/>
  <c r="G15" i="1"/>
  <c r="F15" i="1"/>
  <c r="D15" i="1"/>
  <c r="C6" i="6"/>
  <c r="B36" i="1"/>
  <c r="C15" i="1"/>
  <c r="K28" i="1"/>
  <c r="D43" i="1"/>
  <c r="E43" i="1"/>
  <c r="F43" i="1"/>
  <c r="G43" i="1"/>
  <c r="H43" i="1"/>
  <c r="H45" i="1" s="1"/>
  <c r="C43" i="1"/>
  <c r="C30" i="1"/>
  <c r="C29" i="1"/>
  <c r="E30" i="1"/>
  <c r="E29" i="1"/>
  <c r="E28" i="1"/>
  <c r="F30" i="1"/>
  <c r="F29" i="1"/>
  <c r="F28" i="1"/>
  <c r="G30" i="1"/>
  <c r="G29" i="1"/>
  <c r="G28" i="1"/>
  <c r="H30" i="1"/>
  <c r="H29" i="1"/>
  <c r="H28" i="1"/>
  <c r="I30" i="1"/>
  <c r="I29" i="1"/>
  <c r="I28" i="1"/>
  <c r="J30" i="1"/>
  <c r="J29" i="1"/>
  <c r="J28" i="1"/>
  <c r="K30" i="1"/>
  <c r="K29" i="1"/>
  <c r="D3" i="1"/>
  <c r="D9" i="1" s="1"/>
  <c r="B44" i="1" s="1"/>
  <c r="G26" i="1"/>
  <c r="D26" i="1"/>
  <c r="F25" i="1"/>
  <c r="B16" i="1"/>
  <c r="F6" i="6" l="1"/>
  <c r="E6" i="6"/>
  <c r="D37" i="1"/>
  <c r="F37" i="1"/>
  <c r="C37" i="1"/>
  <c r="G37" i="1"/>
  <c r="E37" i="1"/>
  <c r="B43" i="1"/>
  <c r="D34" i="1"/>
  <c r="E34" i="1"/>
  <c r="F34" i="1"/>
  <c r="G34" i="1"/>
  <c r="E36" i="1"/>
  <c r="G36" i="1"/>
  <c r="C36" i="1"/>
  <c r="D36" i="1"/>
  <c r="F36" i="1"/>
  <c r="D44" i="1"/>
  <c r="C44" i="1"/>
  <c r="E44" i="1"/>
  <c r="G44" i="1"/>
  <c r="F44" i="1"/>
  <c r="B33" i="1" l="1"/>
  <c r="B38" i="1"/>
  <c r="B35" i="1"/>
  <c r="E32" i="1"/>
  <c r="C32" i="1"/>
  <c r="F32" i="1"/>
  <c r="D32" i="1"/>
  <c r="G32" i="1"/>
  <c r="F38" i="1" l="1"/>
  <c r="C38" i="1"/>
  <c r="D38" i="1"/>
  <c r="E38" i="1"/>
  <c r="G38" i="1"/>
  <c r="B39" i="1"/>
  <c r="G35" i="1"/>
  <c r="F35" i="1"/>
  <c r="C35" i="1"/>
  <c r="D35" i="1"/>
  <c r="E35" i="1"/>
  <c r="D33" i="1"/>
  <c r="C33" i="1"/>
  <c r="G33" i="1"/>
  <c r="F33" i="1"/>
  <c r="E33" i="1"/>
  <c r="G39" i="1" l="1"/>
  <c r="F39" i="1"/>
  <c r="C39" i="1"/>
  <c r="D39" i="1"/>
  <c r="E39" i="1"/>
  <c r="E42" i="1" s="1"/>
  <c r="G41" i="1" l="1"/>
  <c r="G42" i="1"/>
  <c r="G40" i="1"/>
  <c r="F41" i="1"/>
  <c r="F40" i="1"/>
  <c r="F42" i="1"/>
  <c r="C41" i="1"/>
  <c r="C40" i="1"/>
  <c r="C42" i="1"/>
  <c r="D41" i="1"/>
  <c r="D40" i="1"/>
  <c r="D42" i="1"/>
  <c r="E41" i="1"/>
  <c r="E40" i="1"/>
  <c r="D45" i="1" l="1"/>
  <c r="C45" i="1"/>
  <c r="F45" i="1"/>
  <c r="G45" i="1"/>
  <c r="E45" i="1"/>
  <c r="B40" i="1"/>
  <c r="B41" i="1"/>
  <c r="B42" i="1"/>
  <c r="B45" i="1" l="1"/>
</calcChain>
</file>

<file path=xl/sharedStrings.xml><?xml version="1.0" encoding="utf-8"?>
<sst xmlns="http://schemas.openxmlformats.org/spreadsheetml/2006/main" count="307" uniqueCount="258">
  <si>
    <t>이름</t>
    <phoneticPr fontId="1" type="noConversion"/>
  </si>
  <si>
    <t>무브먼트</t>
    <phoneticPr fontId="1" type="noConversion"/>
  </si>
  <si>
    <t>홈런 억제</t>
    <phoneticPr fontId="1" type="noConversion"/>
  </si>
  <si>
    <t>장타 억제</t>
    <phoneticPr fontId="1" type="noConversion"/>
  </si>
  <si>
    <t>컨트롤</t>
    <phoneticPr fontId="1" type="noConversion"/>
  </si>
  <si>
    <t>스터프</t>
    <phoneticPr fontId="1" type="noConversion"/>
  </si>
  <si>
    <t>홈런 파워</t>
    <phoneticPr fontId="1" type="noConversion"/>
  </si>
  <si>
    <t>갭 파워</t>
    <phoneticPr fontId="1" type="noConversion"/>
  </si>
  <si>
    <t>삼진 회피</t>
    <phoneticPr fontId="1" type="noConversion"/>
  </si>
  <si>
    <t>등급</t>
    <phoneticPr fontId="1" type="noConversion"/>
  </si>
  <si>
    <t>강화</t>
    <phoneticPr fontId="1" type="noConversion"/>
  </si>
  <si>
    <t>시즌</t>
    <phoneticPr fontId="1" type="noConversion"/>
  </si>
  <si>
    <t>올스타</t>
    <phoneticPr fontId="1" type="noConversion"/>
  </si>
  <si>
    <t>포스트시즌</t>
    <phoneticPr fontId="1" type="noConversion"/>
  </si>
  <si>
    <t>신인왕</t>
    <phoneticPr fontId="1" type="noConversion"/>
  </si>
  <si>
    <t>MMVP</t>
    <phoneticPr fontId="1" type="noConversion"/>
  </si>
  <si>
    <t>구단 레벨</t>
    <phoneticPr fontId="1" type="noConversion"/>
  </si>
  <si>
    <t>클랜 레벨</t>
    <phoneticPr fontId="1" type="noConversion"/>
  </si>
  <si>
    <t>수비</t>
    <phoneticPr fontId="1" type="noConversion"/>
  </si>
  <si>
    <t>주자견제</t>
    <phoneticPr fontId="1" type="noConversion"/>
  </si>
  <si>
    <t>기본스탯</t>
    <phoneticPr fontId="1" type="noConversion"/>
  </si>
  <si>
    <t>시너지</t>
    <phoneticPr fontId="1" type="noConversion"/>
  </si>
  <si>
    <t>%</t>
    <phoneticPr fontId="1" type="noConversion"/>
  </si>
  <si>
    <t>상수</t>
    <phoneticPr fontId="1" type="noConversion"/>
  </si>
  <si>
    <t>레벨</t>
    <phoneticPr fontId="1" type="noConversion"/>
  </si>
  <si>
    <t>스탯명</t>
    <phoneticPr fontId="1" type="noConversion"/>
  </si>
  <si>
    <t>스탯수치</t>
    <phoneticPr fontId="1" type="noConversion"/>
  </si>
  <si>
    <t>환산수치</t>
    <phoneticPr fontId="1" type="noConversion"/>
  </si>
  <si>
    <t>구단레벨</t>
    <phoneticPr fontId="1" type="noConversion"/>
  </si>
  <si>
    <t>커리어</t>
    <phoneticPr fontId="1" type="noConversion"/>
  </si>
  <si>
    <t>도감</t>
    <phoneticPr fontId="1" type="noConversion"/>
  </si>
  <si>
    <t>스킬1</t>
    <phoneticPr fontId="1" type="noConversion"/>
  </si>
  <si>
    <t>스킬2</t>
    <phoneticPr fontId="1" type="noConversion"/>
  </si>
  <si>
    <t>스킬3</t>
    <phoneticPr fontId="1" type="noConversion"/>
  </si>
  <si>
    <t>강화스킬</t>
    <phoneticPr fontId="1" type="noConversion"/>
  </si>
  <si>
    <t>최종스탯</t>
    <phoneticPr fontId="1" type="noConversion"/>
  </si>
  <si>
    <t>강화스탯</t>
    <phoneticPr fontId="1" type="noConversion"/>
  </si>
  <si>
    <t>시너지스탯</t>
    <phoneticPr fontId="1" type="noConversion"/>
  </si>
  <si>
    <t>동일 팀 카드</t>
    <phoneticPr fontId="1" type="noConversion"/>
  </si>
  <si>
    <t>전체스킬스탯</t>
    <phoneticPr fontId="1" type="noConversion"/>
  </si>
  <si>
    <t>각인</t>
    <phoneticPr fontId="1" type="noConversion"/>
  </si>
  <si>
    <t>스킬2</t>
    <phoneticPr fontId="1" type="noConversion"/>
  </si>
  <si>
    <t>스킬3</t>
    <phoneticPr fontId="1" type="noConversion"/>
  </si>
  <si>
    <t>중간스탯</t>
    <phoneticPr fontId="1" type="noConversion"/>
  </si>
  <si>
    <t>구단</t>
    <phoneticPr fontId="1" type="noConversion"/>
  </si>
  <si>
    <t>스킬1</t>
    <phoneticPr fontId="1" type="noConversion"/>
  </si>
  <si>
    <t>팀플+디그</t>
    <phoneticPr fontId="1" type="noConversion"/>
  </si>
  <si>
    <t>자팀커작</t>
    <phoneticPr fontId="1" type="noConversion"/>
  </si>
  <si>
    <t>골든글러브</t>
    <phoneticPr fontId="1" type="noConversion"/>
  </si>
  <si>
    <t>에이스</t>
    <phoneticPr fontId="1" type="noConversion"/>
  </si>
  <si>
    <t>히트</t>
    <phoneticPr fontId="1" type="noConversion"/>
  </si>
  <si>
    <t>탑클래스</t>
    <phoneticPr fontId="1" type="noConversion"/>
  </si>
  <si>
    <t>디그니티</t>
    <phoneticPr fontId="1" type="noConversion"/>
  </si>
  <si>
    <t>파워</t>
    <phoneticPr fontId="1" type="noConversion"/>
  </si>
  <si>
    <t>팀플레이어</t>
    <phoneticPr fontId="1" type="noConversion"/>
  </si>
  <si>
    <t>인물</t>
    <phoneticPr fontId="1" type="noConversion"/>
  </si>
  <si>
    <t>포지션</t>
    <phoneticPr fontId="1" type="noConversion"/>
  </si>
  <si>
    <t>등급</t>
    <phoneticPr fontId="1" type="noConversion"/>
  </si>
  <si>
    <t>년도</t>
    <phoneticPr fontId="1" type="noConversion"/>
  </si>
  <si>
    <t>합계</t>
    <phoneticPr fontId="1" type="noConversion"/>
  </si>
  <si>
    <t>강화 등급</t>
    <phoneticPr fontId="1" type="noConversion"/>
  </si>
  <si>
    <t>바인더 + 클랜</t>
    <phoneticPr fontId="1" type="noConversion"/>
  </si>
  <si>
    <t>파워</t>
    <phoneticPr fontId="1" type="noConversion"/>
  </si>
  <si>
    <t>타격 전략</t>
    <phoneticPr fontId="1" type="noConversion"/>
  </si>
  <si>
    <t>컨택터</t>
    <phoneticPr fontId="1" type="noConversion"/>
  </si>
  <si>
    <t>선구안</t>
    <phoneticPr fontId="1" type="noConversion"/>
  </si>
  <si>
    <t>대응력</t>
    <phoneticPr fontId="1" type="noConversion"/>
  </si>
  <si>
    <t>OPS형 타자</t>
    <phoneticPr fontId="1" type="noConversion"/>
  </si>
  <si>
    <t>적극성</t>
    <phoneticPr fontId="1" type="noConversion"/>
  </si>
  <si>
    <t>갭 히터</t>
    <phoneticPr fontId="1" type="noConversion"/>
  </si>
  <si>
    <t>게스히팅</t>
    <phoneticPr fontId="1" type="noConversion"/>
  </si>
  <si>
    <t>배드볼히터</t>
    <phoneticPr fontId="1" type="noConversion"/>
  </si>
  <si>
    <t>직구 공략</t>
    <phoneticPr fontId="1" type="noConversion"/>
  </si>
  <si>
    <t>변화구 공략</t>
    <phoneticPr fontId="1" type="noConversion"/>
  </si>
  <si>
    <t>슬랩 히터</t>
    <phoneticPr fontId="1" type="noConversion"/>
  </si>
  <si>
    <t>수비</t>
    <phoneticPr fontId="1" type="noConversion"/>
  </si>
  <si>
    <t>주루</t>
    <phoneticPr fontId="1" type="noConversion"/>
  </si>
  <si>
    <t>도루</t>
    <phoneticPr fontId="1" type="noConversion"/>
  </si>
  <si>
    <t>펀치력</t>
    <phoneticPr fontId="1" type="noConversion"/>
  </si>
  <si>
    <t>공격형 포수</t>
    <phoneticPr fontId="1" type="noConversion"/>
  </si>
  <si>
    <t>하이볼 히터</t>
    <phoneticPr fontId="1" type="noConversion"/>
  </si>
  <si>
    <t>로우볼 히터</t>
    <phoneticPr fontId="1" type="noConversion"/>
  </si>
  <si>
    <t>배럴 히터</t>
    <phoneticPr fontId="1" type="noConversion"/>
  </si>
  <si>
    <t>공갈포</t>
    <phoneticPr fontId="1" type="noConversion"/>
  </si>
  <si>
    <t>VS우투</t>
    <phoneticPr fontId="1" type="noConversion"/>
  </si>
  <si>
    <t>VS좌투</t>
    <phoneticPr fontId="1" type="noConversion"/>
  </si>
  <si>
    <t>VS언더</t>
    <phoneticPr fontId="1" type="noConversion"/>
  </si>
  <si>
    <t>내야 수비</t>
    <phoneticPr fontId="1" type="noConversion"/>
  </si>
  <si>
    <t>외야 수비</t>
    <phoneticPr fontId="1" type="noConversion"/>
  </si>
  <si>
    <t>그린라이트</t>
    <phoneticPr fontId="1" type="noConversion"/>
  </si>
  <si>
    <t>스피드스터</t>
    <phoneticPr fontId="1" type="noConversion"/>
  </si>
  <si>
    <t>1번</t>
    <phoneticPr fontId="1" type="noConversion"/>
  </si>
  <si>
    <t>2번</t>
  </si>
  <si>
    <t>3번</t>
  </si>
  <si>
    <t>4번</t>
  </si>
  <si>
    <t>5번</t>
  </si>
  <si>
    <t>6번</t>
  </si>
  <si>
    <t>7번</t>
  </si>
  <si>
    <t>8번</t>
  </si>
  <si>
    <t>9번</t>
  </si>
  <si>
    <t>테이블세터</t>
    <phoneticPr fontId="1" type="noConversion"/>
  </si>
  <si>
    <t>클린업</t>
    <phoneticPr fontId="1" type="noConversion"/>
  </si>
  <si>
    <t>하위타선</t>
    <phoneticPr fontId="1" type="noConversion"/>
  </si>
  <si>
    <t>지명타자</t>
    <phoneticPr fontId="1" type="noConversion"/>
  </si>
  <si>
    <t>변칙타순</t>
    <phoneticPr fontId="1" type="noConversion"/>
  </si>
  <si>
    <t>한계투구</t>
    <phoneticPr fontId="1" type="noConversion"/>
  </si>
  <si>
    <t>이름</t>
    <phoneticPr fontId="1" type="noConversion"/>
  </si>
  <si>
    <t>도루 저지</t>
    <phoneticPr fontId="1" type="noConversion"/>
  </si>
  <si>
    <t>야전사령관</t>
    <phoneticPr fontId="1" type="noConversion"/>
  </si>
  <si>
    <t>인사이드 워크</t>
    <phoneticPr fontId="1" type="noConversion"/>
  </si>
  <si>
    <t>투수 리드</t>
    <phoneticPr fontId="1" type="noConversion"/>
  </si>
  <si>
    <t>친화력</t>
    <phoneticPr fontId="1" type="noConversion"/>
  </si>
  <si>
    <t>강견</t>
    <phoneticPr fontId="1" type="noConversion"/>
  </si>
  <si>
    <t>번트</t>
    <phoneticPr fontId="1" type="noConversion"/>
  </si>
  <si>
    <t>작전 수행</t>
    <phoneticPr fontId="1" type="noConversion"/>
  </si>
  <si>
    <t>와일드씽</t>
    <phoneticPr fontId="1" type="noConversion"/>
  </si>
  <si>
    <t>정면승부</t>
    <phoneticPr fontId="1" type="noConversion"/>
  </si>
  <si>
    <t>투피치</t>
    <phoneticPr fontId="1" type="noConversion"/>
  </si>
  <si>
    <t>파이어볼러</t>
    <phoneticPr fontId="1" type="noConversion"/>
  </si>
  <si>
    <t>더티 무브먼트</t>
    <phoneticPr fontId="1" type="noConversion"/>
  </si>
  <si>
    <t>라이징 무브먼트</t>
    <phoneticPr fontId="1" type="noConversion"/>
  </si>
  <si>
    <t>묵직함</t>
    <phoneticPr fontId="1" type="noConversion"/>
  </si>
  <si>
    <t>너클볼</t>
    <phoneticPr fontId="1" type="noConversion"/>
  </si>
  <si>
    <t>스플리터</t>
    <phoneticPr fontId="1" type="noConversion"/>
  </si>
  <si>
    <t>슬라이더</t>
    <phoneticPr fontId="1" type="noConversion"/>
  </si>
  <si>
    <t>싱커</t>
    <phoneticPr fontId="1" type="noConversion"/>
  </si>
  <si>
    <t>체인지업</t>
    <phoneticPr fontId="1" type="noConversion"/>
  </si>
  <si>
    <t>커브</t>
    <phoneticPr fontId="1" type="noConversion"/>
  </si>
  <si>
    <t>에이스</t>
    <phoneticPr fontId="1" type="noConversion"/>
  </si>
  <si>
    <t>원투펀치</t>
    <phoneticPr fontId="1" type="noConversion"/>
  </si>
  <si>
    <t>롱맨</t>
    <phoneticPr fontId="1" type="noConversion"/>
  </si>
  <si>
    <t>원포인터</t>
    <phoneticPr fontId="1" type="noConversion"/>
  </si>
  <si>
    <t>믿을맨</t>
    <phoneticPr fontId="1" type="noConversion"/>
  </si>
  <si>
    <t>셋업</t>
    <phoneticPr fontId="1" type="noConversion"/>
  </si>
  <si>
    <t>클로저</t>
    <phoneticPr fontId="1" type="noConversion"/>
  </si>
  <si>
    <t>스토퍼</t>
    <phoneticPr fontId="1" type="noConversion"/>
  </si>
  <si>
    <t>완급</t>
    <phoneticPr fontId="1" type="noConversion"/>
  </si>
  <si>
    <t>위기관리</t>
    <phoneticPr fontId="1" type="noConversion"/>
  </si>
  <si>
    <t>이닝이팅</t>
    <phoneticPr fontId="1" type="noConversion"/>
  </si>
  <si>
    <t>셋 포지션</t>
    <phoneticPr fontId="1" type="noConversion"/>
  </si>
  <si>
    <t>주자 억제</t>
    <phoneticPr fontId="1" type="noConversion"/>
  </si>
  <si>
    <t>타자 집중</t>
    <phoneticPr fontId="1" type="noConversion"/>
  </si>
  <si>
    <t>그라운드볼러</t>
    <phoneticPr fontId="1" type="noConversion"/>
  </si>
  <si>
    <t>로케이션</t>
    <phoneticPr fontId="1" type="noConversion"/>
  </si>
  <si>
    <t>팔색조</t>
    <phoneticPr fontId="1" type="noConversion"/>
  </si>
  <si>
    <t>맞춰잡기</t>
    <phoneticPr fontId="1" type="noConversion"/>
  </si>
  <si>
    <t>컨트롤러</t>
    <phoneticPr fontId="1" type="noConversion"/>
  </si>
  <si>
    <t>플라이볼피쳐</t>
    <phoneticPr fontId="1" type="noConversion"/>
  </si>
  <si>
    <t>VS우타</t>
    <phoneticPr fontId="1" type="noConversion"/>
  </si>
  <si>
    <t>VS좌타</t>
    <phoneticPr fontId="1" type="noConversion"/>
  </si>
  <si>
    <t>투수</t>
    <phoneticPr fontId="1" type="noConversion"/>
  </si>
  <si>
    <t>타자</t>
    <phoneticPr fontId="1" type="noConversion"/>
  </si>
  <si>
    <t>수비</t>
    <phoneticPr fontId="1" type="noConversion"/>
  </si>
  <si>
    <t>에이스</t>
  </si>
  <si>
    <t>각인1</t>
    <phoneticPr fontId="1" type="noConversion"/>
  </si>
  <si>
    <t>각인2</t>
    <phoneticPr fontId="1" type="noConversion"/>
  </si>
  <si>
    <t>각인파워</t>
    <phoneticPr fontId="1" type="noConversion"/>
  </si>
  <si>
    <t>추가파워(%)</t>
    <phoneticPr fontId="1" type="noConversion"/>
  </si>
  <si>
    <t>추가파워(상수)</t>
    <phoneticPr fontId="1" type="noConversion"/>
  </si>
  <si>
    <t>등급스킬</t>
    <phoneticPr fontId="1" type="noConversion"/>
  </si>
  <si>
    <t>투수</t>
  </si>
  <si>
    <t>사용자 정보</t>
    <phoneticPr fontId="1" type="noConversion"/>
  </si>
  <si>
    <t>카드정보</t>
    <phoneticPr fontId="1" type="noConversion"/>
  </si>
  <si>
    <t>커리어</t>
    <phoneticPr fontId="1" type="noConversion"/>
  </si>
  <si>
    <t>커리어1</t>
    <phoneticPr fontId="1" type="noConversion"/>
  </si>
  <si>
    <t>커리어2</t>
    <phoneticPr fontId="1" type="noConversion"/>
  </si>
  <si>
    <t>커리어3</t>
    <phoneticPr fontId="1" type="noConversion"/>
  </si>
  <si>
    <t>커리어4</t>
    <phoneticPr fontId="1" type="noConversion"/>
  </si>
  <si>
    <t>커리어5</t>
    <phoneticPr fontId="1" type="noConversion"/>
  </si>
  <si>
    <t>커리어6</t>
    <phoneticPr fontId="1" type="noConversion"/>
  </si>
  <si>
    <t>추가스탯1</t>
    <phoneticPr fontId="1" type="noConversion"/>
  </si>
  <si>
    <t>추가스탯2</t>
    <phoneticPr fontId="1" type="noConversion"/>
  </si>
  <si>
    <t>등급</t>
    <phoneticPr fontId="1" type="noConversion"/>
  </si>
  <si>
    <t>스탯종류</t>
    <phoneticPr fontId="1" type="noConversion"/>
  </si>
  <si>
    <t>스탯값</t>
    <phoneticPr fontId="1" type="noConversion"/>
  </si>
  <si>
    <t>카드명</t>
    <phoneticPr fontId="1" type="noConversion"/>
  </si>
  <si>
    <t>도감등급</t>
    <phoneticPr fontId="1" type="noConversion"/>
  </si>
  <si>
    <t>파워</t>
    <phoneticPr fontId="1" type="noConversion"/>
  </si>
  <si>
    <t>능력치</t>
    <phoneticPr fontId="1" type="noConversion"/>
  </si>
  <si>
    <t>커리어종류</t>
    <phoneticPr fontId="1" type="noConversion"/>
  </si>
  <si>
    <t>몇 포인트가 있나요?</t>
    <phoneticPr fontId="1" type="noConversion"/>
  </si>
  <si>
    <t>커리어 레벨</t>
    <phoneticPr fontId="1" type="noConversion"/>
  </si>
  <si>
    <t>총 보유 포인트</t>
    <phoneticPr fontId="1" type="noConversion"/>
  </si>
  <si>
    <t>커구</t>
    <phoneticPr fontId="1" type="noConversion"/>
  </si>
  <si>
    <t>필요레벨</t>
    <phoneticPr fontId="1" type="noConversion"/>
  </si>
  <si>
    <t>측정 희망 레벨</t>
    <phoneticPr fontId="1" type="noConversion"/>
  </si>
  <si>
    <t>몇 포인트가 필요한가요</t>
    <phoneticPr fontId="1" type="noConversion"/>
  </si>
  <si>
    <t>지금 포인트로 몇레벨까지</t>
    <phoneticPr fontId="1" type="noConversion"/>
  </si>
  <si>
    <t>커브</t>
  </si>
  <si>
    <t>라이징 무브먼트</t>
  </si>
  <si>
    <t>구단</t>
    <phoneticPr fontId="1" type="noConversion"/>
  </si>
  <si>
    <t>자팀</t>
  </si>
  <si>
    <t>자팀</t>
    <phoneticPr fontId="1" type="noConversion"/>
  </si>
  <si>
    <t>타팀</t>
    <phoneticPr fontId="1" type="noConversion"/>
  </si>
  <si>
    <t>파워상승</t>
    <phoneticPr fontId="1" type="noConversion"/>
  </si>
  <si>
    <t>커리어스탯</t>
    <phoneticPr fontId="1" type="noConversion"/>
  </si>
  <si>
    <t>전병두</t>
    <phoneticPr fontId="1" type="noConversion"/>
  </si>
  <si>
    <t>커리어환산값</t>
    <phoneticPr fontId="1" type="noConversion"/>
  </si>
  <si>
    <t>종류</t>
    <phoneticPr fontId="1" type="noConversion"/>
  </si>
  <si>
    <t>컨택트</t>
    <phoneticPr fontId="1" type="noConversion"/>
  </si>
  <si>
    <t>갭파워</t>
    <phoneticPr fontId="1" type="noConversion"/>
  </si>
  <si>
    <t>홈런파워</t>
    <phoneticPr fontId="1" type="noConversion"/>
  </si>
  <si>
    <t>선구안</t>
    <phoneticPr fontId="1" type="noConversion"/>
  </si>
  <si>
    <t>삼진회피</t>
    <phoneticPr fontId="1" type="noConversion"/>
  </si>
  <si>
    <t>전체능력</t>
    <phoneticPr fontId="1" type="noConversion"/>
  </si>
  <si>
    <t>자팀파워</t>
    <phoneticPr fontId="1" type="noConversion"/>
  </si>
  <si>
    <t>스탯번호</t>
    <phoneticPr fontId="1" type="noConversion"/>
  </si>
  <si>
    <t>장타억제</t>
    <phoneticPr fontId="1" type="noConversion"/>
  </si>
  <si>
    <t>홈런억제</t>
    <phoneticPr fontId="1" type="noConversion"/>
  </si>
  <si>
    <t>도감</t>
    <phoneticPr fontId="1" type="noConversion"/>
  </si>
  <si>
    <t>컨택</t>
    <phoneticPr fontId="1" type="noConversion"/>
  </si>
  <si>
    <t>선구</t>
    <phoneticPr fontId="1" type="noConversion"/>
  </si>
  <si>
    <t>바인더레벨</t>
    <phoneticPr fontId="1" type="noConversion"/>
  </si>
  <si>
    <t>와일드씽</t>
  </si>
  <si>
    <t>등급</t>
  </si>
  <si>
    <t>희귀도</t>
  </si>
  <si>
    <t>1 돌파</t>
  </si>
  <si>
    <t>2 돌파</t>
  </si>
  <si>
    <t>3 돌파</t>
  </si>
  <si>
    <t>4 돌파</t>
  </si>
  <si>
    <t>5 돌파</t>
  </si>
  <si>
    <t>6 돌파</t>
  </si>
  <si>
    <t>총 파워 상승</t>
  </si>
  <si>
    <t>5성</t>
  </si>
  <si>
    <t>ROY / TEA / MMVP</t>
  </si>
  <si>
    <t>POS / ASG/ SEA</t>
  </si>
  <si>
    <t>1성</t>
  </si>
  <si>
    <t>​</t>
  </si>
  <si>
    <t>2성</t>
  </si>
  <si>
    <t>3성</t>
  </si>
  <si>
    <t>4성</t>
  </si>
  <si>
    <t>TOP / ACE/ HIT / GG</t>
    <phoneticPr fontId="1" type="noConversion"/>
  </si>
  <si>
    <r>
      <t>GRADE_CONSTANTS</t>
    </r>
    <r>
      <rPr>
        <sz val="11"/>
        <color rgb="FFBBBEBF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BBEBF"/>
        <rFont val="Consolas"/>
        <family val="3"/>
      </rPr>
      <t xml:space="preserve"> {</t>
    </r>
  </si>
  <si>
    <r>
      <t xml:space="preserve">    </t>
    </r>
    <r>
      <rPr>
        <sz val="11"/>
        <color rgb="FFA5D6FF"/>
        <rFont val="Consolas"/>
        <family val="3"/>
      </rPr>
      <t>"SEA"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"atlas"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80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"enhance"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30</t>
    </r>
    <r>
      <rPr>
        <sz val="11"/>
        <color rgb="FFBBBEBF"/>
        <rFont val="Consolas"/>
        <family val="3"/>
      </rPr>
      <t xml:space="preserve">}, </t>
    </r>
    <r>
      <rPr>
        <sz val="11"/>
        <color rgb="FFA5D6FF"/>
        <rFont val="Consolas"/>
        <family val="3"/>
      </rPr>
      <t>"AGS"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"atlas"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80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"enhance"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30</t>
    </r>
    <r>
      <rPr>
        <sz val="11"/>
        <color rgb="FFBBBEBF"/>
        <rFont val="Consolas"/>
        <family val="3"/>
      </rPr>
      <t>},</t>
    </r>
  </si>
  <si>
    <r>
      <t xml:space="preserve">    </t>
    </r>
    <r>
      <rPr>
        <sz val="11"/>
        <color rgb="FFA5D6FF"/>
        <rFont val="Consolas"/>
        <family val="3"/>
      </rPr>
      <t>"POS"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"atlas"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80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"enhance"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40</t>
    </r>
    <r>
      <rPr>
        <sz val="11"/>
        <color rgb="FFBBBEBF"/>
        <rFont val="Consolas"/>
        <family val="3"/>
      </rPr>
      <t xml:space="preserve">}, </t>
    </r>
    <r>
      <rPr>
        <sz val="11"/>
        <color rgb="FFA5D6FF"/>
        <rFont val="Consolas"/>
        <family val="3"/>
      </rPr>
      <t>"ROY"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"atlas"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100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"enhance"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50</t>
    </r>
    <r>
      <rPr>
        <sz val="11"/>
        <color rgb="FFBBBEBF"/>
        <rFont val="Consolas"/>
        <family val="3"/>
      </rPr>
      <t>},</t>
    </r>
  </si>
  <si>
    <r>
      <t xml:space="preserve">    </t>
    </r>
    <r>
      <rPr>
        <sz val="11"/>
        <color rgb="FFA5D6FF"/>
        <rFont val="Consolas"/>
        <family val="3"/>
      </rPr>
      <t>"MMVP"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"atlas"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90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"enhance"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40</t>
    </r>
    <r>
      <rPr>
        <sz val="11"/>
        <color rgb="FFBBBEBF"/>
        <rFont val="Consolas"/>
        <family val="3"/>
      </rPr>
      <t xml:space="preserve">}, </t>
    </r>
    <r>
      <rPr>
        <sz val="11"/>
        <color rgb="FFA5D6FF"/>
        <rFont val="Consolas"/>
        <family val="3"/>
      </rPr>
      <t>"TEA"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"atlas"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90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"enhance"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40</t>
    </r>
    <r>
      <rPr>
        <sz val="11"/>
        <color rgb="FFBBBEBF"/>
        <rFont val="Consolas"/>
        <family val="3"/>
      </rPr>
      <t>},</t>
    </r>
  </si>
  <si>
    <r>
      <t xml:space="preserve">    </t>
    </r>
    <r>
      <rPr>
        <sz val="11"/>
        <color rgb="FFA5D6FF"/>
        <rFont val="Consolas"/>
        <family val="3"/>
      </rPr>
      <t>"GG"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"atlas"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90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"enhance"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50</t>
    </r>
    <r>
      <rPr>
        <sz val="11"/>
        <color rgb="FFBBBEBF"/>
        <rFont val="Consolas"/>
        <family val="3"/>
      </rPr>
      <t xml:space="preserve">}, </t>
    </r>
    <r>
      <rPr>
        <sz val="11"/>
        <color rgb="FFA5D6FF"/>
        <rFont val="Consolas"/>
        <family val="3"/>
      </rPr>
      <t>"ACE"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"atlas"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90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"enhance"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50</t>
    </r>
    <r>
      <rPr>
        <sz val="11"/>
        <color rgb="FFBBBEBF"/>
        <rFont val="Consolas"/>
        <family val="3"/>
      </rPr>
      <t>},</t>
    </r>
  </si>
  <si>
    <r>
      <t xml:space="preserve">    </t>
    </r>
    <r>
      <rPr>
        <sz val="11"/>
        <color rgb="FFA5D6FF"/>
        <rFont val="Consolas"/>
        <family val="3"/>
      </rPr>
      <t>"HIT"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"atlas"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90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"enhance"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50</t>
    </r>
    <r>
      <rPr>
        <sz val="11"/>
        <color rgb="FFBBBEBF"/>
        <rFont val="Consolas"/>
        <family val="3"/>
      </rPr>
      <t xml:space="preserve">}, </t>
    </r>
    <r>
      <rPr>
        <sz val="11"/>
        <color rgb="FFA5D6FF"/>
        <rFont val="Consolas"/>
        <family val="3"/>
      </rPr>
      <t>"TOP"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"atlas"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120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"enhance"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50</t>
    </r>
    <r>
      <rPr>
        <sz val="11"/>
        <color rgb="FFBBBEBF"/>
        <rFont val="Consolas"/>
        <family val="3"/>
      </rPr>
      <t>},</t>
    </r>
  </si>
  <si>
    <r>
      <t xml:space="preserve">    </t>
    </r>
    <r>
      <rPr>
        <sz val="11"/>
        <color rgb="FFA5D6FF"/>
        <rFont val="Consolas"/>
        <family val="3"/>
      </rPr>
      <t>"DGN"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"atlas"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"enhance"</t>
    </r>
    <r>
      <rPr>
        <sz val="11"/>
        <color rgb="FFBBBEBF"/>
        <rFont val="Consolas"/>
        <family val="3"/>
      </rPr>
      <t xml:space="preserve">: </t>
    </r>
    <r>
      <rPr>
        <sz val="11"/>
        <color rgb="FFB5CEA8"/>
        <rFont val="Consolas"/>
        <family val="3"/>
      </rPr>
      <t>300</t>
    </r>
    <r>
      <rPr>
        <sz val="11"/>
        <color rgb="FFBBBEBF"/>
        <rFont val="Consolas"/>
        <family val="3"/>
      </rPr>
      <t>}</t>
    </r>
  </si>
  <si>
    <t>}</t>
  </si>
  <si>
    <t>SEA</t>
    <phoneticPr fontId="1" type="noConversion"/>
  </si>
  <si>
    <t>POS</t>
    <phoneticPr fontId="1" type="noConversion"/>
  </si>
  <si>
    <t>희귀도</t>
    <phoneticPr fontId="1" type="noConversion"/>
  </si>
  <si>
    <t>AGS</t>
    <phoneticPr fontId="1" type="noConversion"/>
  </si>
  <si>
    <t>ACE</t>
    <phoneticPr fontId="1" type="noConversion"/>
  </si>
  <si>
    <t>HIT</t>
    <phoneticPr fontId="1" type="noConversion"/>
  </si>
  <si>
    <t>ROY</t>
    <phoneticPr fontId="1" type="noConversion"/>
  </si>
  <si>
    <t>TEA</t>
    <phoneticPr fontId="1" type="noConversion"/>
  </si>
  <si>
    <t>MMVP</t>
    <phoneticPr fontId="1" type="noConversion"/>
  </si>
  <si>
    <t>TOP</t>
    <phoneticPr fontId="1" type="noConversion"/>
  </si>
  <si>
    <t>GG</t>
    <phoneticPr fontId="1" type="noConversion"/>
  </si>
  <si>
    <t>1돌파</t>
    <phoneticPr fontId="1" type="noConversion"/>
  </si>
  <si>
    <t>2돌파</t>
    <phoneticPr fontId="1" type="noConversion"/>
  </si>
  <si>
    <t>3돌파</t>
    <phoneticPr fontId="1" type="noConversion"/>
  </si>
  <si>
    <t>4돌파</t>
    <phoneticPr fontId="1" type="noConversion"/>
  </si>
  <si>
    <t>5돌파</t>
    <phoneticPr fontId="1" type="noConversion"/>
  </si>
  <si>
    <t>6돌파</t>
    <phoneticPr fontId="1" type="noConversion"/>
  </si>
  <si>
    <t>등급_희귀도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</si>
</sst>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rgb="FF333333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0"/>
      <color rgb="FF333333"/>
      <name val="Arial"/>
      <family val="2"/>
    </font>
    <font>
      <b/>
      <sz val="10"/>
      <color rgb="FF333333"/>
      <name val="Inherit"/>
      <family val="2"/>
    </font>
    <font>
      <sz val="11"/>
      <color rgb="FF333333"/>
      <name val="Arial"/>
      <family val="2"/>
    </font>
    <font>
      <sz val="11"/>
      <color rgb="FFBBBEBF"/>
      <name val="Consolas"/>
      <family val="3"/>
    </font>
    <font>
      <sz val="11"/>
      <color rgb="FF79C0FF"/>
      <name val="Consolas"/>
      <family val="3"/>
    </font>
    <font>
      <sz val="11"/>
      <color rgb="FFD4D4D4"/>
      <name val="Consolas"/>
      <family val="3"/>
    </font>
    <font>
      <sz val="11"/>
      <color rgb="FFA5D6FF"/>
      <name val="Consolas"/>
      <family val="3"/>
    </font>
    <font>
      <sz val="11"/>
      <color rgb="FFB5CEA8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7F7F7"/>
        <bgColor indexed="64"/>
      </patternFill>
    </fill>
    <fill>
      <patternFill patternType="solid">
        <fgColor rgb="FFE2E2E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EEEEE"/>
      </top>
      <bottom/>
      <diagonal/>
    </border>
    <border>
      <left/>
      <right style="medium">
        <color rgb="FFD2D2D2"/>
      </right>
      <top/>
      <bottom style="medium">
        <color rgb="FFD2D2D2"/>
      </bottom>
      <diagonal/>
    </border>
    <border>
      <left style="thick">
        <color rgb="FFD2D2D2"/>
      </left>
      <right style="medium">
        <color rgb="FFD2D2D2"/>
      </right>
      <top style="thick">
        <color rgb="FFD2D2D2"/>
      </top>
      <bottom style="medium">
        <color rgb="FFD2D2D2"/>
      </bottom>
      <diagonal/>
    </border>
    <border>
      <left/>
      <right style="medium">
        <color rgb="FFD2D2D2"/>
      </right>
      <top style="thick">
        <color rgb="FFD2D2D2"/>
      </top>
      <bottom style="medium">
        <color rgb="FFD2D2D2"/>
      </bottom>
      <diagonal/>
    </border>
    <border>
      <left style="thick">
        <color rgb="FFD2D2D2"/>
      </left>
      <right style="medium">
        <color rgb="FFD2D2D2"/>
      </right>
      <top/>
      <bottom style="medium">
        <color rgb="FFD2D2D2"/>
      </bottom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/>
      <diagonal/>
    </border>
    <border>
      <left style="medium">
        <color rgb="FFD2D2D2"/>
      </left>
      <right style="medium">
        <color rgb="FFD2D2D2"/>
      </right>
      <top/>
      <bottom style="medium">
        <color rgb="FFD2D2D2"/>
      </bottom>
      <diagonal/>
    </border>
    <border>
      <left style="thick">
        <color rgb="FFD2D2D2"/>
      </left>
      <right style="medium">
        <color rgb="FFD2D2D2"/>
      </right>
      <top/>
      <bottom/>
      <diagonal/>
    </border>
    <border>
      <left style="thick">
        <color rgb="FFD2D2D2"/>
      </left>
      <right style="medium">
        <color rgb="FFD2D2D2"/>
      </right>
      <top style="medium">
        <color rgb="FFD2D2D2"/>
      </top>
      <bottom/>
      <diagonal/>
    </border>
  </borders>
  <cellStyleXfs count="3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0" xfId="1">
      <alignment vertical="center"/>
    </xf>
    <xf numFmtId="0" fontId="6" fillId="3" borderId="0" xfId="2">
      <alignment vertical="center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</cellXfs>
  <cellStyles count="3">
    <cellStyle name="나쁨" xfId="1" builtinId="27"/>
    <cellStyle name="보통" xfId="2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73F4-EC94-4102-A612-6C04F01BA6F3}">
  <dimension ref="A1:P45"/>
  <sheetViews>
    <sheetView topLeftCell="A16" workbookViewId="0">
      <selection activeCell="M43" sqref="K43:M45"/>
    </sheetView>
  </sheetViews>
  <sheetFormatPr defaultRowHeight="16.5"/>
  <cols>
    <col min="1" max="1" width="13.875" bestFit="1" customWidth="1"/>
    <col min="11" max="11" width="12.125" bestFit="1" customWidth="1"/>
  </cols>
  <sheetData>
    <row r="1" spans="1:13">
      <c r="A1" t="s">
        <v>161</v>
      </c>
      <c r="B1" t="s">
        <v>16</v>
      </c>
      <c r="C1" t="s">
        <v>17</v>
      </c>
      <c r="D1" t="s">
        <v>38</v>
      </c>
    </row>
    <row r="2" spans="1:13">
      <c r="B2">
        <v>100</v>
      </c>
      <c r="C2">
        <v>12</v>
      </c>
      <c r="D2">
        <v>28</v>
      </c>
      <c r="H2" s="1"/>
    </row>
    <row r="3" spans="1:13">
      <c r="B3" t="s">
        <v>212</v>
      </c>
      <c r="C3">
        <v>100</v>
      </c>
      <c r="D3">
        <f>C3*5</f>
        <v>500</v>
      </c>
    </row>
    <row r="4" spans="1:13">
      <c r="B4" t="s">
        <v>44</v>
      </c>
      <c r="C4">
        <v>27</v>
      </c>
    </row>
    <row r="5" spans="1:13">
      <c r="B5" t="s">
        <v>55</v>
      </c>
      <c r="C5">
        <v>0</v>
      </c>
    </row>
    <row r="6" spans="1:13">
      <c r="B6" t="s">
        <v>56</v>
      </c>
      <c r="C6">
        <v>10</v>
      </c>
    </row>
    <row r="7" spans="1:13">
      <c r="B7" t="s">
        <v>57</v>
      </c>
      <c r="C7">
        <v>17</v>
      </c>
    </row>
    <row r="8" spans="1:13">
      <c r="B8" t="s">
        <v>58</v>
      </c>
      <c r="C8">
        <v>0</v>
      </c>
    </row>
    <row r="9" spans="1:13">
      <c r="C9" t="s">
        <v>59</v>
      </c>
      <c r="D9">
        <f>SUM(C4:C8)+D3</f>
        <v>554</v>
      </c>
    </row>
    <row r="11" spans="1:13">
      <c r="A11" t="s">
        <v>162</v>
      </c>
      <c r="B11" s="3" t="s">
        <v>160</v>
      </c>
      <c r="C11" t="s">
        <v>175</v>
      </c>
      <c r="D11" t="s">
        <v>9</v>
      </c>
      <c r="E11" t="s">
        <v>10</v>
      </c>
      <c r="F11" t="s">
        <v>24</v>
      </c>
      <c r="G11" t="s">
        <v>176</v>
      </c>
      <c r="K11" t="s">
        <v>21</v>
      </c>
      <c r="L11" s="6">
        <v>14</v>
      </c>
      <c r="M11" t="s">
        <v>22</v>
      </c>
    </row>
    <row r="12" spans="1:13">
      <c r="A12" t="s">
        <v>190</v>
      </c>
      <c r="B12" s="3" t="s">
        <v>191</v>
      </c>
      <c r="C12" s="6" t="s">
        <v>196</v>
      </c>
      <c r="D12" s="6" t="s">
        <v>153</v>
      </c>
      <c r="E12" s="6">
        <v>15</v>
      </c>
      <c r="F12" s="6">
        <v>100</v>
      </c>
    </row>
    <row r="13" spans="1:13">
      <c r="C13" t="s">
        <v>31</v>
      </c>
      <c r="D13" t="s">
        <v>32</v>
      </c>
      <c r="E13" t="s">
        <v>33</v>
      </c>
      <c r="F13" t="s">
        <v>159</v>
      </c>
      <c r="G13" s="6">
        <v>83</v>
      </c>
      <c r="L13" s="6">
        <v>250</v>
      </c>
      <c r="M13" t="s">
        <v>23</v>
      </c>
    </row>
    <row r="14" spans="1:13">
      <c r="C14" s="6" t="s">
        <v>188</v>
      </c>
      <c r="D14" s="6" t="s">
        <v>189</v>
      </c>
      <c r="E14" s="6" t="s">
        <v>213</v>
      </c>
    </row>
    <row r="15" spans="1:13">
      <c r="B15" s="3" t="s">
        <v>20</v>
      </c>
      <c r="C15" s="3" t="str">
        <f>IF(B11="투수","무브먼트","컨택트")</f>
        <v>무브먼트</v>
      </c>
      <c r="D15" s="3" t="str">
        <f>IF(B11="투수","장타억제","갭파워")</f>
        <v>장타억제</v>
      </c>
      <c r="E15" s="3" t="str">
        <f>IF(B11="투수","홈런억제","홈런파워")</f>
        <v>홈런억제</v>
      </c>
      <c r="F15" s="3" t="str">
        <f>IF(B11="투수","컨트롤","선구안")</f>
        <v>컨트롤</v>
      </c>
      <c r="G15" s="3" t="str">
        <f>IF(B11="투수","스터프","삼진회피")</f>
        <v>스터프</v>
      </c>
      <c r="H15" s="3" t="str">
        <f>IF(B11="투수","한계투구","도루")</f>
        <v>한계투구</v>
      </c>
      <c r="I15" s="3" t="str">
        <f>IF(B11="투수","주자견제","주루")</f>
        <v>주자견제</v>
      </c>
      <c r="J15" s="3" t="s">
        <v>18</v>
      </c>
      <c r="K15" t="s">
        <v>157</v>
      </c>
      <c r="L15" t="s">
        <v>158</v>
      </c>
    </row>
    <row r="16" spans="1:13">
      <c r="B16" s="3">
        <f>SUM(C16:J16)</f>
        <v>1899</v>
      </c>
      <c r="C16" s="2">
        <v>409</v>
      </c>
      <c r="D16" s="2">
        <v>259</v>
      </c>
      <c r="E16" s="2">
        <v>206</v>
      </c>
      <c r="F16" s="2">
        <v>237</v>
      </c>
      <c r="G16" s="2">
        <v>402</v>
      </c>
      <c r="H16" s="2">
        <v>85</v>
      </c>
      <c r="I16" s="2">
        <v>6</v>
      </c>
      <c r="J16" s="2">
        <v>295</v>
      </c>
      <c r="L16" s="2"/>
    </row>
    <row r="17" spans="1:16">
      <c r="B17" t="s">
        <v>154</v>
      </c>
      <c r="C17" s="3">
        <v>68</v>
      </c>
      <c r="D17" s="3"/>
      <c r="E17" s="3"/>
      <c r="F17" s="3">
        <v>271</v>
      </c>
      <c r="G17" s="3"/>
      <c r="H17" s="3"/>
      <c r="I17" s="3"/>
      <c r="J17" s="3"/>
    </row>
    <row r="18" spans="1:16">
      <c r="B18" t="s">
        <v>155</v>
      </c>
      <c r="C18" s="3"/>
      <c r="D18" s="3"/>
      <c r="E18" s="3">
        <v>289</v>
      </c>
      <c r="F18" s="3">
        <v>20</v>
      </c>
      <c r="G18" s="3"/>
      <c r="H18" s="3">
        <v>31</v>
      </c>
      <c r="I18" s="3"/>
      <c r="J18" s="3"/>
    </row>
    <row r="19" spans="1:16">
      <c r="A19" t="s">
        <v>163</v>
      </c>
      <c r="B19" t="s">
        <v>164</v>
      </c>
      <c r="C19" t="s">
        <v>165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</row>
    <row r="20" spans="1:16">
      <c r="A20" t="s">
        <v>172</v>
      </c>
    </row>
    <row r="21" spans="1:16">
      <c r="A21" t="s">
        <v>173</v>
      </c>
    </row>
    <row r="22" spans="1:16">
      <c r="A22" t="s">
        <v>174</v>
      </c>
    </row>
    <row r="23" spans="1:16">
      <c r="A23" t="s">
        <v>197</v>
      </c>
    </row>
    <row r="24" spans="1:16">
      <c r="B24" t="s">
        <v>25</v>
      </c>
      <c r="C24" t="s">
        <v>24</v>
      </c>
      <c r="D24" t="s">
        <v>30</v>
      </c>
      <c r="E24" t="s">
        <v>10</v>
      </c>
      <c r="F24" t="s">
        <v>28</v>
      </c>
      <c r="G24" t="s">
        <v>29</v>
      </c>
      <c r="K24" t="s">
        <v>194</v>
      </c>
    </row>
    <row r="25" spans="1:16">
      <c r="B25" t="s">
        <v>26</v>
      </c>
      <c r="C25">
        <f>F12</f>
        <v>100</v>
      </c>
      <c r="D25">
        <v>900</v>
      </c>
      <c r="E25">
        <f>VLOOKUP(D12,등급정보!A1:B12,2,FALSE)</f>
        <v>50</v>
      </c>
      <c r="F25">
        <f>$B$2</f>
        <v>100</v>
      </c>
      <c r="G25">
        <v>150</v>
      </c>
      <c r="K25">
        <v>24</v>
      </c>
    </row>
    <row r="26" spans="1:16">
      <c r="B26" t="s">
        <v>27</v>
      </c>
      <c r="C26">
        <f>IF(C25*10-10&gt;0,C25*10-10,0)</f>
        <v>990</v>
      </c>
      <c r="D26">
        <f>D25</f>
        <v>900</v>
      </c>
      <c r="E26">
        <f>E25*E12</f>
        <v>750</v>
      </c>
      <c r="F26">
        <f>IF(B12="자팀",750,500)</f>
        <v>750</v>
      </c>
      <c r="G26">
        <f>IF(G25-1&gt;0,G25-1,0)</f>
        <v>149</v>
      </c>
    </row>
    <row r="27" spans="1:16">
      <c r="B27" t="s">
        <v>195</v>
      </c>
    </row>
    <row r="28" spans="1:16">
      <c r="B28" t="s">
        <v>31</v>
      </c>
      <c r="C28">
        <f>IF($B$11="투수",
   IFERROR(VLOOKUP($C$14,스킬정보!$A$2:$J$198,2,FALSE),0),
   IFERROR(VLOOKUP($C$14,스킬정보!$K$2:'스킬정보'!$T$198,2,FALSE),0)
)</f>
        <v>15</v>
      </c>
      <c r="D28">
        <f>IF($B$11="투수",
   IFERROR(VLOOKUP($C$14,스킬정보!$A$2:$J$198,3,FALSE),0),
   IFERROR(VLOOKUP($C$14,스킬정보!$K$2:'스킬정보'!$T$198,2,FALSE),0)
)</f>
        <v>10</v>
      </c>
      <c r="E28">
        <f>IF($B$11="투수",
   IFERROR(VLOOKUP($C$14,스킬정보!$A$2:$J$198,4,FALSE),0),
   IFERROR(VLOOKUP($C$14,스킬정보!$K$2:'스킬정보'!$T$198,4,FALSE),0)
)</f>
        <v>0</v>
      </c>
      <c r="F28">
        <f>IF($B$11="투수",
   IFERROR(VLOOKUP($C$14,스킬정보!$A$2:$J$198,5,FALSE),0),
   IFERROR(VLOOKUP($C$14,스킬정보!$K$2:'스킬정보'!$T$198,5,FALSE),0)
)</f>
        <v>0</v>
      </c>
      <c r="G28">
        <f>IF($B$11="투수",
   IFERROR(VLOOKUP($C$14,스킬정보!$A$2:$J$198,6,FALSE),0),
   IFERROR(VLOOKUP($C$14,스킬정보!$K$2:'스킬정보'!$T$198,6,FALSE),0)
)</f>
        <v>0</v>
      </c>
      <c r="H28">
        <f>IF($B$11="투수",
   IFERROR(VLOOKUP($C$14,스킬정보!$A$2:$J$198,7,FALSE),0),
   IFERROR(VLOOKUP($C$14,스킬정보!$K$2:'스킬정보'!$T$198,7,FALSE),0)
)</f>
        <v>0</v>
      </c>
      <c r="I28">
        <f>IF($B$11="투수",
   IFERROR(VLOOKUP($C$14,스킬정보!$A$2:$J$198,8,FALSE),0),
   IFERROR(VLOOKUP($C$14,스킬정보!$K$2:'스킬정보'!$T$198,8,FALSE),0)
)</f>
        <v>0</v>
      </c>
      <c r="J28">
        <f>IF($B$11="투수",
   IFERROR(VLOOKUP($C$14,스킬정보!$A$2:$J$198,9,FALSE),0),
   IFERROR(VLOOKUP($C$14,스킬정보!$K$2:'스킬정보'!$T$198,9,FALSE),0)
)</f>
        <v>0</v>
      </c>
      <c r="K28">
        <f>IF($B$11="투수",
   IFERROR(VLOOKUP($C$14,스킬정보!$A$2:$J$198,10,FALSE),0),
   IFERROR(VLOOKUP($C$14,스킬정보!$K$2:'스킬정보'!$T$198,10,FALSE),0)
)</f>
        <v>0</v>
      </c>
    </row>
    <row r="29" spans="1:16">
      <c r="B29" t="s">
        <v>32</v>
      </c>
      <c r="C29">
        <f>IF($B$11="투수",
   IFERROR(VLOOKUP($D$14,스킬정보!$A$2:$J$198,2,FALSE),0),
   IFERROR(VLOOKUP($D$14,스킬정보!$K$2:'스킬정보'!$T$198,2,FALSE),0)
)</f>
        <v>0</v>
      </c>
      <c r="D29">
        <f>IF($B$11="투수",
   IFERROR(VLOOKUP($D$14,스킬정보!$A$2:$J$198,3,FALSE),0),
   IFERROR(VLOOKUP($D$14,스킬정보!$K$2:'스킬정보'!$T$198,2,FALSE),0)
)</f>
        <v>0</v>
      </c>
      <c r="E29">
        <f>IF($B$11="투수",
   IFERROR(VLOOKUP($D$14,스킬정보!$A$2:$J$198,4,FALSE),0),
   IFERROR(VLOOKUP($D$14,스킬정보!$K$2:'스킬정보'!$T$198,4,FALSE),0)
)</f>
        <v>0</v>
      </c>
      <c r="F29">
        <f>IF($B$11="투수",
   IFERROR(VLOOKUP($D$14,스킬정보!$A$2:$J$198,5,FALSE),0),
   IFERROR(VLOOKUP($D$14,스킬정보!$K$2:'스킬정보'!$T$198,5,FALSE),0)
)</f>
        <v>0</v>
      </c>
      <c r="G29">
        <f>IF($B$11="투수",
   IFERROR(VLOOKUP($D$14,스킬정보!$A$2:$J$198,6,FALSE),0),
   IFERROR(VLOOKUP($D$14,스킬정보!$K$2:'스킬정보'!$T$198,6,FALSE),0)
)</f>
        <v>20</v>
      </c>
      <c r="H29">
        <f>IF($B$11="투수",
   IFERROR(VLOOKUP($D$14,스킬정보!$A$2:$J$198,7,FALSE),0),
   IFERROR(VLOOKUP($D$14,스킬정보!$K$2:'스킬정보'!$T$198,7,FALSE),0)
)</f>
        <v>0</v>
      </c>
      <c r="I29">
        <f>IF($B$11="투수",
   IFERROR(VLOOKUP($D$14,스킬정보!$A$2:$J$198,8,FALSE),0),
   IFERROR(VLOOKUP($D$14,스킬정보!$K$2:'스킬정보'!$T$198,8,FALSE),0)
)</f>
        <v>0</v>
      </c>
      <c r="J29">
        <f>IF($B$11="투수",
   IFERROR(VLOOKUP($D$14,스킬정보!$A$2:$J$198,9,FALSE),0),
   IFERROR(VLOOKUP($D$14,스킬정보!$K$2:'스킬정보'!$T$198,9,FALSE),0)
)</f>
        <v>0</v>
      </c>
      <c r="K29">
        <f>IF($B$11="투수",
   IFERROR(VLOOKUP($D$14,스킬정보!$A$2:$J$198,10,FALSE),0),
   IFERROR(VLOOKUP($D$14,스킬정보!$K$2:'스킬정보'!$T$198,10,FALSE),0)
)</f>
        <v>0</v>
      </c>
    </row>
    <row r="30" spans="1:16">
      <c r="B30" t="s">
        <v>33</v>
      </c>
      <c r="C30">
        <f>IF($B$11="투수",
   IFERROR(VLOOKUP($E$14,스킬정보!$A$2:$J$198,2,FALSE),0),
   IFERROR(VLOOKUP($E$14,스킬정보!$K$2:'스킬정보'!$T$198,2,FALSE),0)
)</f>
        <v>0</v>
      </c>
      <c r="D30">
        <f>IF($B$11="투수",
   IFERROR(VLOOKUP($E$14,스킬정보!$A$2:$J$198,3,FALSE),0),
   IFERROR(VLOOKUP($E$14,스킬정보!$K$2:'스킬정보'!$T$198,2,FALSE),0)
)</f>
        <v>0</v>
      </c>
      <c r="E30">
        <f>IF($B$11="투수",
   IFERROR(VLOOKUP($E$14,스킬정보!$A$2:$J$198,4,FALSE),0),
   IFERROR(VLOOKUP($E$14,스킬정보!$K$2:'스킬정보'!$T$198,4,FALSE),0)
)</f>
        <v>0</v>
      </c>
      <c r="F30">
        <f>IF($B$11="투수",
   IFERROR(VLOOKUP($E$14,스킬정보!$A$2:$J$198,5,FALSE),0),
   IFERROR(VLOOKUP($E$14,스킬정보!$K$2:'스킬정보'!$T$198,5,FALSE),0)
)</f>
        <v>-3</v>
      </c>
      <c r="G30">
        <f>IF($B$11="투수",
   IFERROR(VLOOKUP($E$14,스킬정보!$A$2:$J$198,6,FALSE),0),
   IFERROR(VLOOKUP($E$14,스킬정보!$K$2:'스킬정보'!$T$198,6,FALSE),0)
)</f>
        <v>10</v>
      </c>
      <c r="H30">
        <f>IF($B$11="투수",
   IFERROR(VLOOKUP($E$14,스킬정보!$A$2:$J$198,7,FALSE),0),
   IFERROR(VLOOKUP($E$14,스킬정보!$K$2:'스킬정보'!$T$198,7,FALSE),0)
)</f>
        <v>0</v>
      </c>
      <c r="I30">
        <f>IF($B$11="투수",
   IFERROR(VLOOKUP($E$14,스킬정보!$A$2:$J$198,8,FALSE),0),
   IFERROR(VLOOKUP($E$14,스킬정보!$K$2:'스킬정보'!$T$198,8,FALSE),0)
)</f>
        <v>0</v>
      </c>
      <c r="J30">
        <f>IF($B$11="투수",
   IFERROR(VLOOKUP($E$14,스킬정보!$A$2:$J$198,9,FALSE),0),
   IFERROR(VLOOKUP($E$14,스킬정보!$K$2:'스킬정보'!$T$198,9,FALSE),0)
)</f>
        <v>0</v>
      </c>
      <c r="K30">
        <f>IF($B$11="투수",
   IFERROR(VLOOKUP($E$14,스킬정보!$A$2:$J$198,10,FALSE),0),
   IFERROR(VLOOKUP($E$14,스킬정보!$K$2:'스킬정보'!$T$198,10,FALSE),0)
)</f>
        <v>0</v>
      </c>
    </row>
    <row r="31" spans="1:16">
      <c r="P31">
        <f>32*28</f>
        <v>896</v>
      </c>
    </row>
    <row r="32" spans="1:16">
      <c r="A32" t="s">
        <v>36</v>
      </c>
      <c r="B32">
        <f>SUM(C26:G26)</f>
        <v>3539</v>
      </c>
      <c r="C32">
        <f>$B$32/5</f>
        <v>707.8</v>
      </c>
      <c r="D32">
        <f t="shared" ref="D32:G32" si="0">$B$32/5</f>
        <v>707.8</v>
      </c>
      <c r="E32">
        <f t="shared" si="0"/>
        <v>707.8</v>
      </c>
      <c r="F32">
        <f t="shared" si="0"/>
        <v>707.8</v>
      </c>
      <c r="G32">
        <f t="shared" si="0"/>
        <v>707.8</v>
      </c>
    </row>
    <row r="33" spans="1:8">
      <c r="A33" t="s">
        <v>37</v>
      </c>
      <c r="B33">
        <f>(B16+B32)*(L11/100)+L13</f>
        <v>1011.32</v>
      </c>
      <c r="C33">
        <f>$B$33/5</f>
        <v>202.26400000000001</v>
      </c>
      <c r="D33">
        <f t="shared" ref="D33:G33" si="1">$B$33/5</f>
        <v>202.26400000000001</v>
      </c>
      <c r="E33">
        <f t="shared" si="1"/>
        <v>202.26400000000001</v>
      </c>
      <c r="F33">
        <f t="shared" si="1"/>
        <v>202.26400000000001</v>
      </c>
      <c r="G33">
        <f t="shared" si="1"/>
        <v>202.26400000000001</v>
      </c>
    </row>
    <row r="34" spans="1:8">
      <c r="A34" t="s">
        <v>47</v>
      </c>
      <c r="B34">
        <f>K25*D2</f>
        <v>672</v>
      </c>
      <c r="C34">
        <f>$B$34/5</f>
        <v>134.4</v>
      </c>
      <c r="D34">
        <f t="shared" ref="D34:G34" si="2">$B$34/5</f>
        <v>134.4</v>
      </c>
      <c r="E34">
        <f t="shared" si="2"/>
        <v>134.4</v>
      </c>
      <c r="F34">
        <f t="shared" si="2"/>
        <v>134.4</v>
      </c>
      <c r="G34">
        <f t="shared" si="2"/>
        <v>134.4</v>
      </c>
    </row>
    <row r="35" spans="1:8">
      <c r="A35" t="s">
        <v>39</v>
      </c>
      <c r="B35">
        <f>(B16+B32)*(SUM(K28:K30)/100)</f>
        <v>0</v>
      </c>
      <c r="C35">
        <f>$B$35/5</f>
        <v>0</v>
      </c>
      <c r="D35">
        <f t="shared" ref="D35:G35" si="3">$B$35/5</f>
        <v>0</v>
      </c>
      <c r="E35">
        <f t="shared" si="3"/>
        <v>0</v>
      </c>
      <c r="F35">
        <f t="shared" si="3"/>
        <v>0</v>
      </c>
      <c r="G35">
        <f t="shared" si="3"/>
        <v>0</v>
      </c>
    </row>
    <row r="36" spans="1:8">
      <c r="A36" t="s">
        <v>46</v>
      </c>
      <c r="B36">
        <f>G13</f>
        <v>83</v>
      </c>
      <c r="C36">
        <f>$B$36/5</f>
        <v>16.600000000000001</v>
      </c>
      <c r="D36">
        <f t="shared" ref="D36:G36" si="4">$B$36/5</f>
        <v>16.600000000000001</v>
      </c>
      <c r="E36">
        <f t="shared" si="4"/>
        <v>16.600000000000001</v>
      </c>
      <c r="F36">
        <f t="shared" si="4"/>
        <v>16.600000000000001</v>
      </c>
      <c r="G36">
        <f t="shared" si="4"/>
        <v>16.600000000000001</v>
      </c>
    </row>
    <row r="37" spans="1:8">
      <c r="A37" t="s">
        <v>34</v>
      </c>
      <c r="B37">
        <f>IF(OR(D12="에이스",D12="히트"),32*D2,0)</f>
        <v>896</v>
      </c>
      <c r="C37">
        <f>$B$37/5</f>
        <v>179.2</v>
      </c>
      <c r="D37">
        <f t="shared" ref="D37:G37" si="5">$B$37/5</f>
        <v>179.2</v>
      </c>
      <c r="E37">
        <f t="shared" si="5"/>
        <v>179.2</v>
      </c>
      <c r="F37">
        <f t="shared" si="5"/>
        <v>179.2</v>
      </c>
      <c r="G37">
        <f t="shared" si="5"/>
        <v>179.2</v>
      </c>
    </row>
    <row r="38" spans="1:8">
      <c r="A38" t="s">
        <v>156</v>
      </c>
      <c r="B38">
        <f>(B32+B16)*((K17+K18)/100)+L17+L18</f>
        <v>0</v>
      </c>
      <c r="C38">
        <f>$B$38/5</f>
        <v>0</v>
      </c>
      <c r="D38">
        <f t="shared" ref="D38:G38" si="6">$B$38/5</f>
        <v>0</v>
      </c>
      <c r="E38">
        <f t="shared" si="6"/>
        <v>0</v>
      </c>
      <c r="F38">
        <f t="shared" si="6"/>
        <v>0</v>
      </c>
      <c r="G38">
        <f t="shared" si="6"/>
        <v>0</v>
      </c>
    </row>
    <row r="39" spans="1:8">
      <c r="A39" t="s">
        <v>43</v>
      </c>
      <c r="B39">
        <f>SUM(B32:B38)+B16</f>
        <v>8100.32</v>
      </c>
      <c r="C39">
        <f t="shared" ref="C39:G39" si="7">SUM(C32:C38)+C16</f>
        <v>1649.2639999999999</v>
      </c>
      <c r="D39">
        <f t="shared" si="7"/>
        <v>1499.2639999999999</v>
      </c>
      <c r="E39">
        <f t="shared" si="7"/>
        <v>1446.2639999999999</v>
      </c>
      <c r="F39">
        <f t="shared" si="7"/>
        <v>1477.2639999999999</v>
      </c>
      <c r="G39">
        <f t="shared" si="7"/>
        <v>1642.2639999999999</v>
      </c>
    </row>
    <row r="40" spans="1:8">
      <c r="A40" t="s">
        <v>45</v>
      </c>
      <c r="B40">
        <f t="shared" ref="B40:B41" si="8">SUM(C40:G40)</f>
        <v>397.31599999999997</v>
      </c>
      <c r="C40">
        <f t="shared" ref="C40:G42" si="9">C$39*(C28/100)</f>
        <v>247.38959999999997</v>
      </c>
      <c r="D40">
        <f t="shared" si="9"/>
        <v>149.9264</v>
      </c>
      <c r="E40">
        <f t="shared" si="9"/>
        <v>0</v>
      </c>
      <c r="F40">
        <f t="shared" si="9"/>
        <v>0</v>
      </c>
      <c r="G40">
        <f t="shared" si="9"/>
        <v>0</v>
      </c>
    </row>
    <row r="41" spans="1:8">
      <c r="A41" t="s">
        <v>41</v>
      </c>
      <c r="B41">
        <f t="shared" si="8"/>
        <v>328.45280000000002</v>
      </c>
      <c r="C41">
        <f t="shared" si="9"/>
        <v>0</v>
      </c>
      <c r="D41">
        <f t="shared" si="9"/>
        <v>0</v>
      </c>
      <c r="E41">
        <f t="shared" si="9"/>
        <v>0</v>
      </c>
      <c r="F41">
        <f t="shared" si="9"/>
        <v>0</v>
      </c>
      <c r="G41">
        <f t="shared" si="9"/>
        <v>328.45280000000002</v>
      </c>
    </row>
    <row r="42" spans="1:8">
      <c r="A42" t="s">
        <v>42</v>
      </c>
      <c r="B42">
        <f>SUM(C42:G42)</f>
        <v>119.90848000000003</v>
      </c>
      <c r="C42">
        <f t="shared" si="9"/>
        <v>0</v>
      </c>
      <c r="D42">
        <f t="shared" si="9"/>
        <v>0</v>
      </c>
      <c r="E42">
        <f t="shared" si="9"/>
        <v>0</v>
      </c>
      <c r="F42">
        <f t="shared" si="9"/>
        <v>-44.317919999999994</v>
      </c>
      <c r="G42">
        <f t="shared" si="9"/>
        <v>164.22640000000001</v>
      </c>
    </row>
    <row r="43" spans="1:8">
      <c r="A43" t="s">
        <v>40</v>
      </c>
      <c r="B43">
        <f>SUM(C43:H43)</f>
        <v>679</v>
      </c>
      <c r="C43">
        <f>C17+C18</f>
        <v>68</v>
      </c>
      <c r="D43">
        <f t="shared" ref="D43:H43" si="10">D17+D18</f>
        <v>0</v>
      </c>
      <c r="E43">
        <f t="shared" si="10"/>
        <v>289</v>
      </c>
      <c r="F43">
        <f t="shared" si="10"/>
        <v>291</v>
      </c>
      <c r="G43">
        <f t="shared" si="10"/>
        <v>0</v>
      </c>
      <c r="H43">
        <f t="shared" si="10"/>
        <v>31</v>
      </c>
    </row>
    <row r="44" spans="1:8">
      <c r="A44" t="s">
        <v>61</v>
      </c>
      <c r="B44">
        <f>D9+C2</f>
        <v>566</v>
      </c>
      <c r="C44">
        <f>$B$44/5</f>
        <v>113.2</v>
      </c>
      <c r="D44">
        <f>$B$44/5</f>
        <v>113.2</v>
      </c>
      <c r="E44">
        <f>$B$44/5</f>
        <v>113.2</v>
      </c>
      <c r="F44">
        <f>$B$44/5</f>
        <v>113.2</v>
      </c>
      <c r="G44">
        <f>$B$44/5</f>
        <v>113.2</v>
      </c>
    </row>
    <row r="45" spans="1:8">
      <c r="A45" t="s">
        <v>35</v>
      </c>
      <c r="B45" s="7">
        <f>B44+B39+B41+B43+B40+B42</f>
        <v>10190.99728</v>
      </c>
      <c r="C45" s="7">
        <f t="shared" ref="C45:G45" si="11">C44+C39+C41+C43+C40+C42</f>
        <v>2077.8535999999999</v>
      </c>
      <c r="D45" s="7">
        <f t="shared" si="11"/>
        <v>1762.3904</v>
      </c>
      <c r="E45" s="7">
        <f t="shared" si="11"/>
        <v>1848.4639999999999</v>
      </c>
      <c r="F45" s="7">
        <f t="shared" si="11"/>
        <v>1837.14608</v>
      </c>
      <c r="G45" s="7">
        <f t="shared" si="11"/>
        <v>2248.1432</v>
      </c>
      <c r="H45" s="7">
        <f>H16+H43</f>
        <v>116</v>
      </c>
    </row>
  </sheetData>
  <phoneticPr fontId="1" type="noConversion"/>
  <dataValidations count="3">
    <dataValidation type="list" allowBlank="1" showInputMessage="1" showErrorMessage="1" sqref="C14" xr:uid="{192B120D-90AA-401B-BC3F-356CBF8EBBEE}">
      <formula1>IF($B$11="투수",투수스킬,타자스킬)</formula1>
    </dataValidation>
    <dataValidation type="list" allowBlank="1" showInputMessage="1" showErrorMessage="1" sqref="D14" xr:uid="{A7F8E786-FB14-4264-8C4B-5A966BE18C27}">
      <formula1>IF(B11="투수",투수스킬,타자스킬)</formula1>
    </dataValidation>
    <dataValidation type="list" allowBlank="1" showInputMessage="1" showErrorMessage="1" sqref="E14" xr:uid="{3A5724F0-A76D-4C8C-92B7-F34F4CB6D10B}">
      <formula1>IF(B11="투수",투수스킬,타자스킬)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FE9E34B-9919-4DAA-A00F-895456C92C6D}">
          <x14:formula1>
            <xm:f>기본정보!$A$1:$A$2</xm:f>
          </x14:formula1>
          <xm:sqref>B11</xm:sqref>
        </x14:dataValidation>
        <x14:dataValidation type="list" allowBlank="1" showInputMessage="1" showErrorMessage="1" xr:uid="{143D6065-E73D-4DD7-A852-DD51A6B67A1A}">
          <x14:formula1>
            <xm:f>등급정보!$A$2:$A$12</xm:f>
          </x14:formula1>
          <xm:sqref>D12</xm:sqref>
        </x14:dataValidation>
        <x14:dataValidation type="list" allowBlank="1" showInputMessage="1" showErrorMessage="1" xr:uid="{66EED62E-BA4B-4570-8E14-1BE239EFD110}">
          <x14:formula1>
            <xm:f>등급정보!$G$2:$G$17</xm:f>
          </x14:formula1>
          <xm:sqref>G12 E12</xm:sqref>
        </x14:dataValidation>
        <x14:dataValidation type="list" allowBlank="1" showInputMessage="1" showErrorMessage="1" xr:uid="{9DDF7EF8-FFE7-47FE-B3F0-38E141307139}">
          <x14:formula1>
            <xm:f>기본정보!$B$1:$B$2</xm:f>
          </x14:formula1>
          <xm:sqref>B12</xm:sqref>
        </x14:dataValidation>
        <x14:dataValidation type="list" allowBlank="1" showInputMessage="1" showErrorMessage="1" xr:uid="{A265928F-1DD8-42A2-BED6-70E8E3E5E81E}">
          <x14:formula1>
            <xm:f>'커리어 정보'!$C$2:$C$3</xm:f>
          </x14:formula1>
          <xm:sqref>B21:H21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AF98-9596-48AE-99F7-06B3BCDAFA07}">
  <dimension ref="A1:L151"/>
  <sheetViews>
    <sheetView tabSelected="1" workbookViewId="0">
      <selection activeCell="E17" sqref="E17"/>
    </sheetView>
  </sheetViews>
  <sheetFormatPr defaultRowHeight="16.5"/>
  <cols>
    <col min="1" max="1" width="11.625" bestFit="1" customWidth="1"/>
    <col min="2" max="2" width="24.875" bestFit="1" customWidth="1"/>
    <col min="3" max="4" width="14.375" bestFit="1" customWidth="1"/>
    <col min="5" max="5" width="22.75" bestFit="1" customWidth="1"/>
    <col min="6" max="6" width="24.875" bestFit="1" customWidth="1"/>
  </cols>
  <sheetData>
    <row r="1" spans="1:12">
      <c r="H1" t="s">
        <v>24</v>
      </c>
      <c r="I1" t="s">
        <v>184</v>
      </c>
      <c r="K1" t="s">
        <v>183</v>
      </c>
    </row>
    <row r="2" spans="1:12" ht="17.25" thickBot="1">
      <c r="H2" s="4">
        <v>1</v>
      </c>
      <c r="I2" s="4">
        <v>0</v>
      </c>
      <c r="J2" s="4">
        <v>0</v>
      </c>
      <c r="K2" s="4">
        <v>0</v>
      </c>
      <c r="L2" s="4">
        <v>0</v>
      </c>
    </row>
    <row r="3" spans="1:12" ht="17.25" thickBot="1">
      <c r="H3" s="5">
        <v>2</v>
      </c>
      <c r="I3" s="5">
        <v>1</v>
      </c>
      <c r="J3" s="5">
        <v>1</v>
      </c>
      <c r="K3" s="5">
        <v>1</v>
      </c>
      <c r="L3" s="5">
        <v>1</v>
      </c>
    </row>
    <row r="4" spans="1:12" ht="17.25" thickBot="1">
      <c r="H4" s="5">
        <v>3</v>
      </c>
      <c r="I4" s="5">
        <v>1</v>
      </c>
      <c r="J4" s="5">
        <v>2</v>
      </c>
      <c r="K4" s="5">
        <v>1</v>
      </c>
      <c r="L4" s="5">
        <v>2</v>
      </c>
    </row>
    <row r="5" spans="1:12" ht="17.25" thickBot="1">
      <c r="A5" t="s">
        <v>181</v>
      </c>
      <c r="B5" t="s">
        <v>180</v>
      </c>
      <c r="C5" t="s">
        <v>182</v>
      </c>
      <c r="D5" t="s">
        <v>185</v>
      </c>
      <c r="E5" t="s">
        <v>186</v>
      </c>
      <c r="F5" t="s">
        <v>187</v>
      </c>
      <c r="H5" s="5">
        <v>4</v>
      </c>
      <c r="I5" s="5">
        <v>1</v>
      </c>
      <c r="J5" s="5">
        <v>3</v>
      </c>
      <c r="K5" s="5">
        <v>1</v>
      </c>
      <c r="L5" s="5">
        <v>3</v>
      </c>
    </row>
    <row r="6" spans="1:12" ht="17.25" thickBot="1">
      <c r="A6">
        <v>40</v>
      </c>
      <c r="B6">
        <v>1588</v>
      </c>
      <c r="C6">
        <f>VLOOKUP(A6,H2:L151,3,FALSE) + B6</f>
        <v>1691</v>
      </c>
      <c r="D6">
        <v>150</v>
      </c>
      <c r="E6">
        <f>IF(D6&gt;A6,VLOOKUP(D6,H2:L151,3,FALSE)-C6,0)</f>
        <v>2</v>
      </c>
      <c r="F6">
        <f>_xlfn.XLOOKUP(C6, J2:J151, H2:H151, , -1)</f>
        <v>149</v>
      </c>
      <c r="H6" s="5">
        <v>5</v>
      </c>
      <c r="I6" s="5">
        <v>1</v>
      </c>
      <c r="J6" s="5">
        <v>4</v>
      </c>
      <c r="K6" s="5">
        <v>1</v>
      </c>
      <c r="L6" s="5">
        <v>4</v>
      </c>
    </row>
    <row r="7" spans="1:12" ht="17.25" thickBot="1">
      <c r="H7" s="5">
        <v>6</v>
      </c>
      <c r="I7" s="5">
        <v>1</v>
      </c>
      <c r="J7" s="5">
        <v>5</v>
      </c>
      <c r="K7" s="5">
        <v>1</v>
      </c>
      <c r="L7" s="5">
        <v>5</v>
      </c>
    </row>
    <row r="8" spans="1:12" ht="17.25" thickBot="1">
      <c r="H8" s="5">
        <v>7</v>
      </c>
      <c r="I8" s="5">
        <v>1</v>
      </c>
      <c r="J8" s="5">
        <v>6</v>
      </c>
      <c r="K8" s="5">
        <v>1</v>
      </c>
      <c r="L8" s="5">
        <v>6</v>
      </c>
    </row>
    <row r="9" spans="1:12" ht="17.25" thickBot="1">
      <c r="H9" s="5">
        <v>8</v>
      </c>
      <c r="I9" s="5">
        <v>1</v>
      </c>
      <c r="J9" s="5">
        <v>7</v>
      </c>
      <c r="K9" s="5">
        <v>1</v>
      </c>
      <c r="L9" s="5">
        <v>7</v>
      </c>
    </row>
    <row r="10" spans="1:12" ht="17.25" thickBot="1">
      <c r="H10" s="5">
        <v>9</v>
      </c>
      <c r="I10" s="5">
        <v>1</v>
      </c>
      <c r="J10" s="5">
        <v>8</v>
      </c>
      <c r="K10" s="5">
        <v>1</v>
      </c>
      <c r="L10" s="5">
        <v>8</v>
      </c>
    </row>
    <row r="11" spans="1:12" ht="17.25" thickBot="1">
      <c r="H11" s="5">
        <v>10</v>
      </c>
      <c r="I11" s="5">
        <v>2</v>
      </c>
      <c r="J11" s="5">
        <v>10</v>
      </c>
      <c r="K11" s="5">
        <v>2</v>
      </c>
      <c r="L11" s="5">
        <v>10</v>
      </c>
    </row>
    <row r="12" spans="1:12" ht="17.25" thickBot="1">
      <c r="H12" s="5">
        <v>11</v>
      </c>
      <c r="I12" s="5">
        <v>2</v>
      </c>
      <c r="J12" s="5">
        <v>12</v>
      </c>
      <c r="K12" s="5">
        <v>2</v>
      </c>
      <c r="L12" s="5">
        <v>12</v>
      </c>
    </row>
    <row r="13" spans="1:12" ht="17.25" thickBot="1">
      <c r="H13" s="5">
        <v>12</v>
      </c>
      <c r="I13" s="5">
        <v>2</v>
      </c>
      <c r="J13" s="5">
        <v>14</v>
      </c>
      <c r="K13" s="5">
        <v>2</v>
      </c>
      <c r="L13" s="5">
        <v>14</v>
      </c>
    </row>
    <row r="14" spans="1:12" ht="17.25" thickBot="1">
      <c r="H14" s="5">
        <v>13</v>
      </c>
      <c r="I14" s="5">
        <v>2</v>
      </c>
      <c r="J14" s="5">
        <v>16</v>
      </c>
      <c r="K14" s="5">
        <v>2</v>
      </c>
      <c r="L14" s="5">
        <v>16</v>
      </c>
    </row>
    <row r="15" spans="1:12" ht="17.25" thickBot="1">
      <c r="H15" s="5">
        <v>14</v>
      </c>
      <c r="I15" s="5">
        <v>2</v>
      </c>
      <c r="J15" s="5">
        <v>18</v>
      </c>
      <c r="K15" s="5">
        <v>2</v>
      </c>
      <c r="L15" s="5">
        <v>18</v>
      </c>
    </row>
    <row r="16" spans="1:12" ht="17.25" thickBot="1">
      <c r="H16" s="5">
        <v>15</v>
      </c>
      <c r="I16" s="5">
        <v>2</v>
      </c>
      <c r="J16" s="5">
        <v>20</v>
      </c>
      <c r="K16" s="5">
        <v>3</v>
      </c>
      <c r="L16" s="5">
        <v>21</v>
      </c>
    </row>
    <row r="17" spans="8:12" ht="17.25" thickBot="1">
      <c r="H17" s="5">
        <v>16</v>
      </c>
      <c r="I17" s="5">
        <v>2</v>
      </c>
      <c r="J17" s="5">
        <v>22</v>
      </c>
      <c r="K17" s="5">
        <v>3</v>
      </c>
      <c r="L17" s="5">
        <v>24</v>
      </c>
    </row>
    <row r="18" spans="8:12" ht="17.25" thickBot="1">
      <c r="H18" s="5">
        <v>17</v>
      </c>
      <c r="I18" s="5">
        <v>2</v>
      </c>
      <c r="J18" s="5">
        <v>24</v>
      </c>
      <c r="K18" s="5">
        <v>3</v>
      </c>
      <c r="L18" s="5">
        <v>27</v>
      </c>
    </row>
    <row r="19" spans="8:12" ht="17.25" thickBot="1">
      <c r="H19" s="5">
        <v>18</v>
      </c>
      <c r="I19" s="5">
        <v>2</v>
      </c>
      <c r="J19" s="5">
        <v>26</v>
      </c>
      <c r="K19" s="5">
        <v>3</v>
      </c>
      <c r="L19" s="5">
        <v>30</v>
      </c>
    </row>
    <row r="20" spans="8:12" ht="17.25" thickBot="1">
      <c r="H20" s="5">
        <v>19</v>
      </c>
      <c r="I20" s="5">
        <v>2</v>
      </c>
      <c r="J20" s="5">
        <v>28</v>
      </c>
      <c r="K20" s="5">
        <v>3</v>
      </c>
      <c r="L20" s="5">
        <v>33</v>
      </c>
    </row>
    <row r="21" spans="8:12" ht="17.25" thickBot="1">
      <c r="H21" s="5">
        <v>20</v>
      </c>
      <c r="I21" s="5">
        <v>3</v>
      </c>
      <c r="J21" s="5">
        <v>31</v>
      </c>
      <c r="K21" s="5">
        <v>5</v>
      </c>
      <c r="L21" s="5">
        <v>38</v>
      </c>
    </row>
    <row r="22" spans="8:12" ht="17.25" thickBot="1">
      <c r="H22" s="5">
        <v>21</v>
      </c>
      <c r="I22" s="5">
        <v>3</v>
      </c>
      <c r="J22" s="5">
        <v>34</v>
      </c>
      <c r="K22" s="5">
        <v>5</v>
      </c>
      <c r="L22" s="5">
        <v>43</v>
      </c>
    </row>
    <row r="23" spans="8:12" ht="17.25" thickBot="1">
      <c r="H23" s="5">
        <v>22</v>
      </c>
      <c r="I23" s="5">
        <v>3</v>
      </c>
      <c r="J23" s="5">
        <v>37</v>
      </c>
      <c r="K23" s="5">
        <v>5</v>
      </c>
      <c r="L23" s="5">
        <v>48</v>
      </c>
    </row>
    <row r="24" spans="8:12" ht="17.25" thickBot="1">
      <c r="H24" s="5">
        <v>23</v>
      </c>
      <c r="I24" s="5">
        <v>3</v>
      </c>
      <c r="J24" s="5">
        <v>40</v>
      </c>
      <c r="K24" s="5">
        <v>5</v>
      </c>
      <c r="L24" s="5">
        <v>53</v>
      </c>
    </row>
    <row r="25" spans="8:12" ht="17.25" thickBot="1">
      <c r="H25" s="5">
        <v>24</v>
      </c>
      <c r="I25" s="5">
        <v>3</v>
      </c>
      <c r="J25" s="5">
        <v>43</v>
      </c>
      <c r="K25" s="5">
        <v>5</v>
      </c>
      <c r="L25" s="5">
        <v>58</v>
      </c>
    </row>
    <row r="26" spans="8:12" ht="17.25" thickBot="1">
      <c r="H26" s="5">
        <v>25</v>
      </c>
      <c r="I26" s="5">
        <v>3</v>
      </c>
      <c r="J26" s="5">
        <v>46</v>
      </c>
      <c r="K26" s="5">
        <v>10</v>
      </c>
      <c r="L26" s="5">
        <v>68</v>
      </c>
    </row>
    <row r="27" spans="8:12" ht="17.25" thickBot="1">
      <c r="H27" s="5">
        <v>26</v>
      </c>
      <c r="I27" s="5">
        <v>3</v>
      </c>
      <c r="J27" s="5">
        <v>49</v>
      </c>
      <c r="K27" s="5">
        <v>10</v>
      </c>
      <c r="L27" s="5">
        <v>78</v>
      </c>
    </row>
    <row r="28" spans="8:12" ht="17.25" thickBot="1">
      <c r="H28" s="5">
        <v>27</v>
      </c>
      <c r="I28" s="5">
        <v>3</v>
      </c>
      <c r="J28" s="5">
        <v>52</v>
      </c>
      <c r="K28" s="5">
        <v>10</v>
      </c>
      <c r="L28" s="5">
        <v>88</v>
      </c>
    </row>
    <row r="29" spans="8:12" ht="17.25" thickBot="1">
      <c r="H29" s="5">
        <v>28</v>
      </c>
      <c r="I29" s="5">
        <v>3</v>
      </c>
      <c r="J29" s="5">
        <v>55</v>
      </c>
      <c r="K29" s="5">
        <v>10</v>
      </c>
      <c r="L29" s="5">
        <v>98</v>
      </c>
    </row>
    <row r="30" spans="8:12" ht="17.25" thickBot="1">
      <c r="H30" s="5">
        <v>29</v>
      </c>
      <c r="I30" s="5">
        <v>3</v>
      </c>
      <c r="J30" s="5">
        <v>58</v>
      </c>
      <c r="K30" s="5">
        <v>10</v>
      </c>
      <c r="L30" s="5">
        <v>108</v>
      </c>
    </row>
    <row r="31" spans="8:12" ht="17.25" thickBot="1">
      <c r="H31" s="5">
        <v>30</v>
      </c>
      <c r="I31" s="5">
        <v>4</v>
      </c>
      <c r="J31" s="5">
        <v>62</v>
      </c>
      <c r="K31" s="5">
        <v>15</v>
      </c>
      <c r="L31" s="5">
        <v>123</v>
      </c>
    </row>
    <row r="32" spans="8:12" ht="17.25" thickBot="1">
      <c r="H32" s="5">
        <v>31</v>
      </c>
      <c r="I32" s="5">
        <v>4</v>
      </c>
      <c r="J32" s="5">
        <v>66</v>
      </c>
      <c r="K32" s="5">
        <v>15</v>
      </c>
      <c r="L32" s="5">
        <v>138</v>
      </c>
    </row>
    <row r="33" spans="8:12" ht="17.25" thickBot="1">
      <c r="H33" s="5">
        <v>32</v>
      </c>
      <c r="I33" s="5">
        <v>4</v>
      </c>
      <c r="J33" s="5">
        <v>70</v>
      </c>
      <c r="K33" s="5">
        <v>15</v>
      </c>
      <c r="L33" s="5">
        <v>153</v>
      </c>
    </row>
    <row r="34" spans="8:12" ht="17.25" thickBot="1">
      <c r="H34" s="5">
        <v>33</v>
      </c>
      <c r="I34" s="5">
        <v>4</v>
      </c>
      <c r="J34" s="5">
        <v>74</v>
      </c>
      <c r="K34" s="5">
        <v>15</v>
      </c>
      <c r="L34" s="5">
        <v>168</v>
      </c>
    </row>
    <row r="35" spans="8:12" ht="17.25" thickBot="1">
      <c r="H35" s="5">
        <v>34</v>
      </c>
      <c r="I35" s="5">
        <v>4</v>
      </c>
      <c r="J35" s="5">
        <v>78</v>
      </c>
      <c r="K35" s="5">
        <v>15</v>
      </c>
      <c r="L35" s="5">
        <v>183</v>
      </c>
    </row>
    <row r="36" spans="8:12" ht="17.25" thickBot="1">
      <c r="H36" s="5">
        <v>35</v>
      </c>
      <c r="I36" s="5">
        <v>4</v>
      </c>
      <c r="J36" s="5">
        <v>82</v>
      </c>
      <c r="K36" s="5">
        <v>20</v>
      </c>
      <c r="L36" s="5">
        <v>203</v>
      </c>
    </row>
    <row r="37" spans="8:12" ht="17.25" thickBot="1">
      <c r="H37" s="5">
        <v>36</v>
      </c>
      <c r="I37" s="5">
        <v>4</v>
      </c>
      <c r="J37" s="5">
        <v>86</v>
      </c>
      <c r="K37" s="5">
        <v>20</v>
      </c>
      <c r="L37" s="5">
        <v>223</v>
      </c>
    </row>
    <row r="38" spans="8:12" ht="17.25" thickBot="1">
      <c r="H38" s="5">
        <v>37</v>
      </c>
      <c r="I38" s="5">
        <v>4</v>
      </c>
      <c r="J38" s="5">
        <v>90</v>
      </c>
      <c r="K38" s="5">
        <v>20</v>
      </c>
      <c r="L38" s="5">
        <v>243</v>
      </c>
    </row>
    <row r="39" spans="8:12" ht="17.25" thickBot="1">
      <c r="H39" s="5">
        <v>38</v>
      </c>
      <c r="I39" s="5">
        <v>4</v>
      </c>
      <c r="J39" s="5">
        <v>94</v>
      </c>
      <c r="K39" s="5">
        <v>20</v>
      </c>
      <c r="L39" s="5">
        <v>263</v>
      </c>
    </row>
    <row r="40" spans="8:12" ht="17.25" thickBot="1">
      <c r="H40" s="5">
        <v>39</v>
      </c>
      <c r="I40" s="5">
        <v>4</v>
      </c>
      <c r="J40" s="5">
        <v>98</v>
      </c>
      <c r="K40" s="5">
        <v>20</v>
      </c>
      <c r="L40" s="5">
        <v>283</v>
      </c>
    </row>
    <row r="41" spans="8:12" ht="17.25" thickBot="1">
      <c r="H41" s="5">
        <v>40</v>
      </c>
      <c r="I41" s="5">
        <v>5</v>
      </c>
      <c r="J41" s="5">
        <v>103</v>
      </c>
      <c r="K41" s="5">
        <v>25</v>
      </c>
      <c r="L41" s="5">
        <v>308</v>
      </c>
    </row>
    <row r="42" spans="8:12" ht="17.25" thickBot="1">
      <c r="H42" s="5">
        <v>41</v>
      </c>
      <c r="I42" s="5">
        <v>5</v>
      </c>
      <c r="J42" s="5">
        <v>108</v>
      </c>
      <c r="K42" s="5">
        <v>25</v>
      </c>
      <c r="L42" s="5">
        <v>333</v>
      </c>
    </row>
    <row r="43" spans="8:12" ht="17.25" thickBot="1">
      <c r="H43" s="5">
        <v>42</v>
      </c>
      <c r="I43" s="5">
        <v>5</v>
      </c>
      <c r="J43" s="5">
        <v>113</v>
      </c>
      <c r="K43" s="5">
        <v>25</v>
      </c>
      <c r="L43" s="5">
        <v>358</v>
      </c>
    </row>
    <row r="44" spans="8:12" ht="17.25" thickBot="1">
      <c r="H44" s="5">
        <v>43</v>
      </c>
      <c r="I44" s="5">
        <v>5</v>
      </c>
      <c r="J44" s="5">
        <v>118</v>
      </c>
      <c r="K44" s="5">
        <v>25</v>
      </c>
      <c r="L44" s="5">
        <v>383</v>
      </c>
    </row>
    <row r="45" spans="8:12" ht="17.25" thickBot="1">
      <c r="H45" s="5">
        <v>44</v>
      </c>
      <c r="I45" s="5">
        <v>5</v>
      </c>
      <c r="J45" s="5">
        <v>123</v>
      </c>
      <c r="K45" s="5">
        <v>25</v>
      </c>
      <c r="L45" s="5">
        <v>408</v>
      </c>
    </row>
    <row r="46" spans="8:12" ht="17.25" thickBot="1">
      <c r="H46" s="5">
        <v>45</v>
      </c>
      <c r="I46" s="5">
        <v>5</v>
      </c>
      <c r="J46" s="5">
        <v>128</v>
      </c>
      <c r="K46" s="5">
        <v>30</v>
      </c>
      <c r="L46" s="5">
        <v>438</v>
      </c>
    </row>
    <row r="47" spans="8:12" ht="17.25" thickBot="1">
      <c r="H47" s="5">
        <v>46</v>
      </c>
      <c r="I47" s="5">
        <v>5</v>
      </c>
      <c r="J47" s="5">
        <v>133</v>
      </c>
      <c r="K47" s="5">
        <v>30</v>
      </c>
      <c r="L47" s="5">
        <v>468</v>
      </c>
    </row>
    <row r="48" spans="8:12" ht="17.25" thickBot="1">
      <c r="H48" s="5">
        <v>47</v>
      </c>
      <c r="I48" s="5">
        <v>5</v>
      </c>
      <c r="J48" s="5">
        <v>138</v>
      </c>
      <c r="K48" s="5">
        <v>30</v>
      </c>
      <c r="L48" s="5">
        <v>498</v>
      </c>
    </row>
    <row r="49" spans="8:12" ht="17.25" thickBot="1">
      <c r="H49" s="5">
        <v>48</v>
      </c>
      <c r="I49" s="5">
        <v>5</v>
      </c>
      <c r="J49" s="5">
        <v>143</v>
      </c>
      <c r="K49" s="5">
        <v>30</v>
      </c>
      <c r="L49" s="5">
        <v>528</v>
      </c>
    </row>
    <row r="50" spans="8:12" ht="17.25" thickBot="1">
      <c r="H50" s="5">
        <v>49</v>
      </c>
      <c r="I50" s="5">
        <v>5</v>
      </c>
      <c r="J50" s="5">
        <v>148</v>
      </c>
      <c r="K50" s="5">
        <v>30</v>
      </c>
      <c r="L50" s="5">
        <v>558</v>
      </c>
    </row>
    <row r="51" spans="8:12" ht="17.25" thickBot="1">
      <c r="H51" s="5">
        <v>50</v>
      </c>
      <c r="I51" s="5">
        <v>6</v>
      </c>
      <c r="J51" s="5">
        <v>154</v>
      </c>
      <c r="K51" s="5">
        <v>35</v>
      </c>
      <c r="L51" s="5">
        <v>593</v>
      </c>
    </row>
    <row r="52" spans="8:12" ht="17.25" thickBot="1">
      <c r="H52" s="5">
        <v>51</v>
      </c>
      <c r="I52" s="5">
        <v>6</v>
      </c>
      <c r="J52" s="5">
        <v>160</v>
      </c>
      <c r="K52" s="5">
        <v>35</v>
      </c>
      <c r="L52" s="5">
        <v>628</v>
      </c>
    </row>
    <row r="53" spans="8:12" ht="17.25" thickBot="1">
      <c r="H53" s="5">
        <v>52</v>
      </c>
      <c r="I53" s="5">
        <v>6</v>
      </c>
      <c r="J53" s="5">
        <v>166</v>
      </c>
      <c r="K53" s="5">
        <v>35</v>
      </c>
      <c r="L53" s="5">
        <v>663</v>
      </c>
    </row>
    <row r="54" spans="8:12" ht="17.25" thickBot="1">
      <c r="H54" s="5">
        <v>53</v>
      </c>
      <c r="I54" s="5">
        <v>6</v>
      </c>
      <c r="J54" s="5">
        <v>172</v>
      </c>
      <c r="K54" s="5">
        <v>35</v>
      </c>
      <c r="L54" s="5">
        <v>698</v>
      </c>
    </row>
    <row r="55" spans="8:12" ht="17.25" thickBot="1">
      <c r="H55" s="5">
        <v>54</v>
      </c>
      <c r="I55" s="5">
        <v>6</v>
      </c>
      <c r="J55" s="5">
        <v>178</v>
      </c>
      <c r="K55" s="5">
        <v>35</v>
      </c>
      <c r="L55" s="5">
        <v>733</v>
      </c>
    </row>
    <row r="56" spans="8:12" ht="17.25" thickBot="1">
      <c r="H56" s="5">
        <v>55</v>
      </c>
      <c r="I56" s="5">
        <v>7</v>
      </c>
      <c r="J56" s="5">
        <v>185</v>
      </c>
      <c r="K56" s="5">
        <v>40</v>
      </c>
      <c r="L56" s="5">
        <v>773</v>
      </c>
    </row>
    <row r="57" spans="8:12" ht="17.25" thickBot="1">
      <c r="H57" s="5">
        <v>56</v>
      </c>
      <c r="I57" s="5">
        <v>7</v>
      </c>
      <c r="J57" s="5">
        <v>192</v>
      </c>
      <c r="K57" s="5">
        <v>40</v>
      </c>
      <c r="L57" s="5">
        <v>813</v>
      </c>
    </row>
    <row r="58" spans="8:12" ht="17.25" thickBot="1">
      <c r="H58" s="5">
        <v>57</v>
      </c>
      <c r="I58" s="5">
        <v>7</v>
      </c>
      <c r="J58" s="5">
        <v>199</v>
      </c>
      <c r="K58" s="5">
        <v>40</v>
      </c>
      <c r="L58" s="5">
        <v>853</v>
      </c>
    </row>
    <row r="59" spans="8:12" ht="17.25" thickBot="1">
      <c r="H59" s="5">
        <v>58</v>
      </c>
      <c r="I59" s="5">
        <v>7</v>
      </c>
      <c r="J59" s="5">
        <v>206</v>
      </c>
      <c r="K59" s="5">
        <v>40</v>
      </c>
      <c r="L59" s="5">
        <v>893</v>
      </c>
    </row>
    <row r="60" spans="8:12" ht="17.25" thickBot="1">
      <c r="H60" s="5">
        <v>59</v>
      </c>
      <c r="I60" s="5">
        <v>7</v>
      </c>
      <c r="J60" s="5">
        <v>213</v>
      </c>
      <c r="K60" s="5">
        <v>40</v>
      </c>
      <c r="L60" s="5">
        <v>933</v>
      </c>
    </row>
    <row r="61" spans="8:12" ht="17.25" thickBot="1">
      <c r="H61" s="5">
        <v>60</v>
      </c>
      <c r="I61" s="5">
        <v>8</v>
      </c>
      <c r="J61" s="5">
        <v>221</v>
      </c>
      <c r="K61" s="5">
        <v>45</v>
      </c>
      <c r="L61" s="5">
        <v>978</v>
      </c>
    </row>
    <row r="62" spans="8:12" ht="17.25" thickBot="1">
      <c r="H62" s="5">
        <v>61</v>
      </c>
      <c r="I62" s="5">
        <v>8</v>
      </c>
      <c r="J62" s="5">
        <v>229</v>
      </c>
      <c r="K62" s="5">
        <v>45</v>
      </c>
      <c r="L62" s="5">
        <v>1023</v>
      </c>
    </row>
    <row r="63" spans="8:12" ht="17.25" thickBot="1">
      <c r="H63" s="5">
        <v>62</v>
      </c>
      <c r="I63" s="5">
        <v>8</v>
      </c>
      <c r="J63" s="5">
        <v>237</v>
      </c>
      <c r="K63" s="5">
        <v>45</v>
      </c>
      <c r="L63" s="5">
        <v>1068</v>
      </c>
    </row>
    <row r="64" spans="8:12" ht="17.25" thickBot="1">
      <c r="H64" s="5">
        <v>63</v>
      </c>
      <c r="I64" s="5">
        <v>8</v>
      </c>
      <c r="J64" s="5">
        <v>245</v>
      </c>
      <c r="K64" s="5">
        <v>45</v>
      </c>
      <c r="L64" s="5">
        <v>1113</v>
      </c>
    </row>
    <row r="65" spans="8:12" ht="17.25" thickBot="1">
      <c r="H65" s="5">
        <v>64</v>
      </c>
      <c r="I65" s="5">
        <v>8</v>
      </c>
      <c r="J65" s="5">
        <v>253</v>
      </c>
      <c r="K65" s="5">
        <v>45</v>
      </c>
      <c r="L65" s="5">
        <v>1158</v>
      </c>
    </row>
    <row r="66" spans="8:12" ht="17.25" thickBot="1">
      <c r="H66" s="5">
        <v>65</v>
      </c>
      <c r="I66" s="5">
        <v>9</v>
      </c>
      <c r="J66" s="5">
        <v>262</v>
      </c>
      <c r="K66" s="5">
        <v>50</v>
      </c>
      <c r="L66" s="5">
        <v>1208</v>
      </c>
    </row>
    <row r="67" spans="8:12" ht="17.25" thickBot="1">
      <c r="H67" s="5">
        <v>66</v>
      </c>
      <c r="I67" s="5">
        <v>9</v>
      </c>
      <c r="J67" s="5">
        <v>271</v>
      </c>
      <c r="K67" s="5">
        <v>50</v>
      </c>
      <c r="L67" s="5">
        <v>1258</v>
      </c>
    </row>
    <row r="68" spans="8:12" ht="17.25" thickBot="1">
      <c r="H68" s="5">
        <v>67</v>
      </c>
      <c r="I68" s="5">
        <v>9</v>
      </c>
      <c r="J68" s="5">
        <v>280</v>
      </c>
      <c r="K68" s="5">
        <v>50</v>
      </c>
      <c r="L68" s="5">
        <v>1308</v>
      </c>
    </row>
    <row r="69" spans="8:12" ht="17.25" thickBot="1">
      <c r="H69" s="5">
        <v>68</v>
      </c>
      <c r="I69" s="5">
        <v>9</v>
      </c>
      <c r="J69" s="5">
        <v>289</v>
      </c>
      <c r="K69" s="5">
        <v>50</v>
      </c>
      <c r="L69" s="5">
        <v>1358</v>
      </c>
    </row>
    <row r="70" spans="8:12" ht="17.25" thickBot="1">
      <c r="H70" s="5">
        <v>69</v>
      </c>
      <c r="I70" s="5">
        <v>9</v>
      </c>
      <c r="J70" s="5">
        <v>298</v>
      </c>
      <c r="K70" s="5">
        <v>50</v>
      </c>
      <c r="L70" s="5">
        <v>1408</v>
      </c>
    </row>
    <row r="71" spans="8:12" ht="17.25" thickBot="1">
      <c r="H71" s="5">
        <v>70</v>
      </c>
      <c r="I71" s="5">
        <v>10</v>
      </c>
      <c r="J71" s="5">
        <v>308</v>
      </c>
      <c r="K71" s="5">
        <v>55</v>
      </c>
      <c r="L71" s="5">
        <v>1463</v>
      </c>
    </row>
    <row r="72" spans="8:12" ht="17.25" thickBot="1">
      <c r="H72" s="5">
        <v>71</v>
      </c>
      <c r="I72" s="5">
        <v>10</v>
      </c>
      <c r="J72" s="5">
        <v>318</v>
      </c>
      <c r="K72" s="5">
        <v>55</v>
      </c>
      <c r="L72" s="5">
        <v>1518</v>
      </c>
    </row>
    <row r="73" spans="8:12" ht="17.25" thickBot="1">
      <c r="H73" s="5">
        <v>72</v>
      </c>
      <c r="I73" s="5">
        <v>10</v>
      </c>
      <c r="J73" s="5">
        <v>328</v>
      </c>
      <c r="K73" s="5">
        <v>55</v>
      </c>
      <c r="L73" s="5">
        <v>1573</v>
      </c>
    </row>
    <row r="74" spans="8:12" ht="17.25" thickBot="1">
      <c r="H74" s="5">
        <v>73</v>
      </c>
      <c r="I74" s="5">
        <v>10</v>
      </c>
      <c r="J74" s="5">
        <v>338</v>
      </c>
      <c r="K74" s="5">
        <v>55</v>
      </c>
      <c r="L74" s="5">
        <v>1628</v>
      </c>
    </row>
    <row r="75" spans="8:12" ht="17.25" thickBot="1">
      <c r="H75" s="5">
        <v>74</v>
      </c>
      <c r="I75" s="5">
        <v>10</v>
      </c>
      <c r="J75" s="5">
        <v>348</v>
      </c>
      <c r="K75" s="5">
        <v>55</v>
      </c>
      <c r="L75" s="5">
        <v>1683</v>
      </c>
    </row>
    <row r="76" spans="8:12" ht="17.25" thickBot="1">
      <c r="H76" s="5">
        <v>75</v>
      </c>
      <c r="I76" s="5">
        <v>11</v>
      </c>
      <c r="J76" s="5">
        <v>359</v>
      </c>
      <c r="K76" s="5">
        <v>60</v>
      </c>
      <c r="L76" s="5">
        <v>1743</v>
      </c>
    </row>
    <row r="77" spans="8:12" ht="17.25" thickBot="1">
      <c r="H77" s="5">
        <v>76</v>
      </c>
      <c r="I77" s="5">
        <v>11</v>
      </c>
      <c r="J77" s="5">
        <v>370</v>
      </c>
      <c r="K77" s="5">
        <v>60</v>
      </c>
      <c r="L77" s="5">
        <v>1803</v>
      </c>
    </row>
    <row r="78" spans="8:12" ht="17.25" thickBot="1">
      <c r="H78" s="5">
        <v>77</v>
      </c>
      <c r="I78" s="5">
        <v>11</v>
      </c>
      <c r="J78" s="5">
        <v>381</v>
      </c>
      <c r="K78" s="5">
        <v>60</v>
      </c>
      <c r="L78" s="5">
        <v>1863</v>
      </c>
    </row>
    <row r="79" spans="8:12" ht="17.25" thickBot="1">
      <c r="H79" s="5">
        <v>78</v>
      </c>
      <c r="I79" s="5">
        <v>11</v>
      </c>
      <c r="J79" s="5">
        <v>392</v>
      </c>
      <c r="K79" s="5">
        <v>60</v>
      </c>
      <c r="L79" s="5">
        <v>1923</v>
      </c>
    </row>
    <row r="80" spans="8:12" ht="17.25" thickBot="1">
      <c r="H80" s="5">
        <v>79</v>
      </c>
      <c r="I80" s="5">
        <v>11</v>
      </c>
      <c r="J80" s="5">
        <v>403</v>
      </c>
      <c r="K80" s="5">
        <v>60</v>
      </c>
      <c r="L80" s="5">
        <v>1983</v>
      </c>
    </row>
    <row r="81" spans="8:12" ht="17.25" thickBot="1">
      <c r="H81" s="5">
        <v>80</v>
      </c>
      <c r="I81" s="5">
        <v>12</v>
      </c>
      <c r="J81" s="5">
        <v>415</v>
      </c>
      <c r="K81" s="5">
        <v>65</v>
      </c>
      <c r="L81" s="5">
        <v>2048</v>
      </c>
    </row>
    <row r="82" spans="8:12" ht="17.25" thickBot="1">
      <c r="H82" s="5">
        <v>81</v>
      </c>
      <c r="I82" s="5">
        <v>12</v>
      </c>
      <c r="J82" s="5">
        <v>427</v>
      </c>
      <c r="K82" s="5">
        <v>65</v>
      </c>
      <c r="L82" s="5">
        <v>2113</v>
      </c>
    </row>
    <row r="83" spans="8:12" ht="17.25" thickBot="1">
      <c r="H83" s="5">
        <v>82</v>
      </c>
      <c r="I83" s="5">
        <v>12</v>
      </c>
      <c r="J83" s="5">
        <v>439</v>
      </c>
      <c r="K83" s="5">
        <v>65</v>
      </c>
      <c r="L83" s="5">
        <v>2178</v>
      </c>
    </row>
    <row r="84" spans="8:12" ht="17.25" thickBot="1">
      <c r="H84" s="5">
        <v>83</v>
      </c>
      <c r="I84" s="5">
        <v>12</v>
      </c>
      <c r="J84" s="5">
        <v>451</v>
      </c>
      <c r="K84" s="5">
        <v>65</v>
      </c>
      <c r="L84" s="5">
        <v>2243</v>
      </c>
    </row>
    <row r="85" spans="8:12" ht="17.25" thickBot="1">
      <c r="H85" s="5">
        <v>84</v>
      </c>
      <c r="I85" s="5">
        <v>12</v>
      </c>
      <c r="J85" s="5">
        <v>463</v>
      </c>
      <c r="K85" s="5">
        <v>65</v>
      </c>
      <c r="L85" s="5">
        <v>2308</v>
      </c>
    </row>
    <row r="86" spans="8:12" ht="17.25" thickBot="1">
      <c r="H86" s="5">
        <v>85</v>
      </c>
      <c r="I86" s="5">
        <v>13</v>
      </c>
      <c r="J86" s="5">
        <v>476</v>
      </c>
      <c r="K86" s="5">
        <v>70</v>
      </c>
      <c r="L86" s="5">
        <v>2378</v>
      </c>
    </row>
    <row r="87" spans="8:12" ht="17.25" thickBot="1">
      <c r="H87" s="5">
        <v>86</v>
      </c>
      <c r="I87" s="5">
        <v>13</v>
      </c>
      <c r="J87" s="5">
        <v>489</v>
      </c>
      <c r="K87" s="5">
        <v>70</v>
      </c>
      <c r="L87" s="5">
        <v>2448</v>
      </c>
    </row>
    <row r="88" spans="8:12" ht="17.25" thickBot="1">
      <c r="H88" s="5">
        <v>87</v>
      </c>
      <c r="I88" s="5">
        <v>13</v>
      </c>
      <c r="J88" s="5">
        <v>502</v>
      </c>
      <c r="K88" s="5">
        <v>70</v>
      </c>
      <c r="L88" s="5">
        <v>2518</v>
      </c>
    </row>
    <row r="89" spans="8:12" ht="17.25" thickBot="1">
      <c r="H89" s="5">
        <v>88</v>
      </c>
      <c r="I89" s="5">
        <v>13</v>
      </c>
      <c r="J89" s="5">
        <v>515</v>
      </c>
      <c r="K89" s="5">
        <v>70</v>
      </c>
      <c r="L89" s="5">
        <v>2588</v>
      </c>
    </row>
    <row r="90" spans="8:12" ht="17.25" thickBot="1">
      <c r="H90" s="5">
        <v>89</v>
      </c>
      <c r="I90" s="5">
        <v>13</v>
      </c>
      <c r="J90" s="5">
        <v>528</v>
      </c>
      <c r="K90" s="5">
        <v>70</v>
      </c>
      <c r="L90" s="5">
        <v>2658</v>
      </c>
    </row>
    <row r="91" spans="8:12" ht="17.25" thickBot="1">
      <c r="H91" s="5">
        <v>90</v>
      </c>
      <c r="I91" s="5">
        <v>14</v>
      </c>
      <c r="J91" s="5">
        <v>542</v>
      </c>
      <c r="K91" s="5">
        <v>80</v>
      </c>
      <c r="L91" s="5">
        <v>2738</v>
      </c>
    </row>
    <row r="92" spans="8:12" ht="17.25" thickBot="1">
      <c r="H92" s="5">
        <v>91</v>
      </c>
      <c r="I92" s="5">
        <v>14</v>
      </c>
      <c r="J92" s="5">
        <v>556</v>
      </c>
      <c r="K92" s="5">
        <v>80</v>
      </c>
      <c r="L92" s="5">
        <v>2818</v>
      </c>
    </row>
    <row r="93" spans="8:12" ht="17.25" thickBot="1">
      <c r="H93" s="5">
        <v>92</v>
      </c>
      <c r="I93" s="5">
        <v>14</v>
      </c>
      <c r="J93" s="5">
        <v>570</v>
      </c>
      <c r="K93" s="5">
        <v>80</v>
      </c>
      <c r="L93" s="5">
        <v>2898</v>
      </c>
    </row>
    <row r="94" spans="8:12" ht="17.25" thickBot="1">
      <c r="H94" s="5">
        <v>93</v>
      </c>
      <c r="I94" s="5">
        <v>14</v>
      </c>
      <c r="J94" s="5">
        <v>584</v>
      </c>
      <c r="K94" s="5">
        <v>80</v>
      </c>
      <c r="L94" s="5">
        <v>2978</v>
      </c>
    </row>
    <row r="95" spans="8:12" ht="17.25" thickBot="1">
      <c r="H95" s="5">
        <v>94</v>
      </c>
      <c r="I95" s="5">
        <v>14</v>
      </c>
      <c r="J95" s="5">
        <v>598</v>
      </c>
      <c r="K95" s="5">
        <v>80</v>
      </c>
      <c r="L95" s="5">
        <v>3058</v>
      </c>
    </row>
    <row r="96" spans="8:12" ht="17.25" thickBot="1">
      <c r="H96" s="5">
        <v>95</v>
      </c>
      <c r="I96" s="5">
        <v>15</v>
      </c>
      <c r="J96" s="5">
        <v>613</v>
      </c>
      <c r="K96" s="5">
        <v>90</v>
      </c>
      <c r="L96" s="5">
        <v>3148</v>
      </c>
    </row>
    <row r="97" spans="8:12" ht="17.25" thickBot="1">
      <c r="H97" s="5">
        <v>96</v>
      </c>
      <c r="I97" s="5">
        <v>15</v>
      </c>
      <c r="J97" s="5">
        <v>628</v>
      </c>
      <c r="K97" s="5">
        <v>90</v>
      </c>
      <c r="L97" s="5">
        <v>3238</v>
      </c>
    </row>
    <row r="98" spans="8:12" ht="17.25" thickBot="1">
      <c r="H98" s="5">
        <v>97</v>
      </c>
      <c r="I98" s="5">
        <v>15</v>
      </c>
      <c r="J98" s="5">
        <v>643</v>
      </c>
      <c r="K98" s="5">
        <v>90</v>
      </c>
      <c r="L98" s="5">
        <v>3328</v>
      </c>
    </row>
    <row r="99" spans="8:12" ht="17.25" thickBot="1">
      <c r="H99" s="5">
        <v>98</v>
      </c>
      <c r="I99" s="5">
        <v>15</v>
      </c>
      <c r="J99" s="5">
        <v>658</v>
      </c>
      <c r="K99" s="5">
        <v>90</v>
      </c>
      <c r="L99" s="5">
        <v>3418</v>
      </c>
    </row>
    <row r="100" spans="8:12" ht="17.25" thickBot="1">
      <c r="H100" s="5">
        <v>99</v>
      </c>
      <c r="I100" s="5">
        <v>15</v>
      </c>
      <c r="J100" s="5">
        <v>673</v>
      </c>
      <c r="K100" s="5">
        <v>90</v>
      </c>
      <c r="L100" s="5">
        <v>3508</v>
      </c>
    </row>
    <row r="101" spans="8:12" ht="17.25" thickBot="1">
      <c r="H101" s="5">
        <v>100</v>
      </c>
      <c r="I101" s="5">
        <v>20</v>
      </c>
      <c r="J101" s="5">
        <v>693</v>
      </c>
      <c r="K101" s="5">
        <v>100</v>
      </c>
      <c r="L101" s="5">
        <v>3608</v>
      </c>
    </row>
    <row r="102" spans="8:12" ht="17.25" thickBot="1">
      <c r="H102" s="5">
        <v>101</v>
      </c>
      <c r="I102" s="5">
        <v>20</v>
      </c>
      <c r="J102" s="5">
        <v>713</v>
      </c>
      <c r="K102" s="4">
        <v>100</v>
      </c>
      <c r="L102" s="5">
        <v>3708</v>
      </c>
    </row>
    <row r="103" spans="8:12" ht="17.25" thickBot="1">
      <c r="H103" s="5">
        <v>102</v>
      </c>
      <c r="I103" s="5">
        <v>20</v>
      </c>
      <c r="J103" s="5">
        <v>733</v>
      </c>
      <c r="K103" s="5">
        <v>100</v>
      </c>
      <c r="L103" s="5">
        <v>3808</v>
      </c>
    </row>
    <row r="104" spans="8:12" ht="17.25" thickBot="1">
      <c r="H104" s="5">
        <v>103</v>
      </c>
      <c r="I104" s="5">
        <v>20</v>
      </c>
      <c r="J104" s="5">
        <v>753</v>
      </c>
      <c r="K104" s="4">
        <v>100</v>
      </c>
      <c r="L104" s="5">
        <v>3908</v>
      </c>
    </row>
    <row r="105" spans="8:12" ht="17.25" thickBot="1">
      <c r="H105" s="5">
        <v>104</v>
      </c>
      <c r="I105" s="5">
        <v>20</v>
      </c>
      <c r="J105" s="5">
        <v>773</v>
      </c>
      <c r="K105" s="5">
        <v>100</v>
      </c>
      <c r="L105" s="5">
        <v>4008</v>
      </c>
    </row>
    <row r="106" spans="8:12" ht="17.25" thickBot="1">
      <c r="H106" s="5">
        <v>105</v>
      </c>
      <c r="I106" s="5">
        <v>20</v>
      </c>
      <c r="J106" s="5">
        <v>793</v>
      </c>
      <c r="K106" s="4">
        <v>100</v>
      </c>
      <c r="L106" s="5">
        <v>4108</v>
      </c>
    </row>
    <row r="107" spans="8:12" ht="17.25" thickBot="1">
      <c r="H107" s="5">
        <v>106</v>
      </c>
      <c r="I107" s="5">
        <v>20</v>
      </c>
      <c r="J107" s="5">
        <v>813</v>
      </c>
      <c r="K107" s="5">
        <v>100</v>
      </c>
      <c r="L107" s="5">
        <v>4208</v>
      </c>
    </row>
    <row r="108" spans="8:12" ht="17.25" thickBot="1">
      <c r="H108" s="5">
        <v>107</v>
      </c>
      <c r="I108" s="5">
        <v>20</v>
      </c>
      <c r="J108" s="5">
        <v>833</v>
      </c>
      <c r="K108" s="4">
        <v>100</v>
      </c>
      <c r="L108" s="5">
        <v>4308</v>
      </c>
    </row>
    <row r="109" spans="8:12" ht="17.25" thickBot="1">
      <c r="H109" s="5">
        <v>108</v>
      </c>
      <c r="I109" s="5">
        <v>20</v>
      </c>
      <c r="J109" s="5">
        <v>853</v>
      </c>
      <c r="K109" s="5">
        <v>100</v>
      </c>
      <c r="L109" s="5">
        <v>4408</v>
      </c>
    </row>
    <row r="110" spans="8:12" ht="17.25" thickBot="1">
      <c r="H110" s="5">
        <v>109</v>
      </c>
      <c r="I110" s="5">
        <v>20</v>
      </c>
      <c r="J110" s="5">
        <v>873</v>
      </c>
      <c r="K110" s="4">
        <v>100</v>
      </c>
      <c r="L110" s="5">
        <v>4508</v>
      </c>
    </row>
    <row r="111" spans="8:12" ht="17.25" thickBot="1">
      <c r="H111" s="5">
        <v>110</v>
      </c>
      <c r="I111" s="5">
        <v>20</v>
      </c>
      <c r="J111" s="5">
        <v>893</v>
      </c>
      <c r="K111" s="5">
        <v>100</v>
      </c>
      <c r="L111" s="5">
        <v>4608</v>
      </c>
    </row>
    <row r="112" spans="8:12" ht="17.25" thickBot="1">
      <c r="H112" s="5">
        <v>111</v>
      </c>
      <c r="I112" s="5">
        <v>20</v>
      </c>
      <c r="J112" s="5">
        <v>913</v>
      </c>
      <c r="K112" s="4">
        <v>100</v>
      </c>
      <c r="L112" s="5">
        <v>4708</v>
      </c>
    </row>
    <row r="113" spans="8:12" ht="17.25" thickBot="1">
      <c r="H113" s="5">
        <v>112</v>
      </c>
      <c r="I113" s="5">
        <v>20</v>
      </c>
      <c r="J113" s="5">
        <v>933</v>
      </c>
      <c r="K113" s="5">
        <v>100</v>
      </c>
      <c r="L113" s="5">
        <v>4808</v>
      </c>
    </row>
    <row r="114" spans="8:12" ht="17.25" thickBot="1">
      <c r="H114" s="5">
        <v>113</v>
      </c>
      <c r="I114" s="5">
        <v>20</v>
      </c>
      <c r="J114" s="5">
        <v>953</v>
      </c>
      <c r="K114" s="4">
        <v>100</v>
      </c>
      <c r="L114" s="5">
        <v>4908</v>
      </c>
    </row>
    <row r="115" spans="8:12" ht="17.25" thickBot="1">
      <c r="H115" s="5">
        <v>114</v>
      </c>
      <c r="I115" s="5">
        <v>20</v>
      </c>
      <c r="J115" s="5">
        <v>973</v>
      </c>
      <c r="K115" s="5">
        <v>100</v>
      </c>
      <c r="L115" s="5">
        <v>5008</v>
      </c>
    </row>
    <row r="116" spans="8:12" ht="17.25" thickBot="1">
      <c r="H116" s="5">
        <v>115</v>
      </c>
      <c r="I116" s="5">
        <v>20</v>
      </c>
      <c r="J116" s="5">
        <v>993</v>
      </c>
      <c r="K116" s="4">
        <v>100</v>
      </c>
      <c r="L116" s="5">
        <v>5108</v>
      </c>
    </row>
    <row r="117" spans="8:12" ht="17.25" thickBot="1">
      <c r="H117" s="5">
        <v>116</v>
      </c>
      <c r="I117" s="5">
        <v>20</v>
      </c>
      <c r="J117" s="5">
        <v>1013</v>
      </c>
      <c r="K117" s="5">
        <v>100</v>
      </c>
      <c r="L117" s="5">
        <v>5208</v>
      </c>
    </row>
    <row r="118" spans="8:12" ht="17.25" thickBot="1">
      <c r="H118" s="5">
        <v>117</v>
      </c>
      <c r="I118" s="5">
        <v>20</v>
      </c>
      <c r="J118" s="5">
        <v>1033</v>
      </c>
      <c r="K118" s="4">
        <v>100</v>
      </c>
      <c r="L118" s="5">
        <v>5308</v>
      </c>
    </row>
    <row r="119" spans="8:12" ht="17.25" thickBot="1">
      <c r="H119" s="5">
        <v>118</v>
      </c>
      <c r="I119" s="5">
        <v>20</v>
      </c>
      <c r="J119" s="5">
        <v>1053</v>
      </c>
      <c r="K119" s="5">
        <v>100</v>
      </c>
      <c r="L119" s="5">
        <v>5408</v>
      </c>
    </row>
    <row r="120" spans="8:12" ht="17.25" thickBot="1">
      <c r="H120" s="5">
        <v>119</v>
      </c>
      <c r="I120" s="5">
        <v>20</v>
      </c>
      <c r="J120" s="5">
        <v>1073</v>
      </c>
      <c r="K120" s="4">
        <v>100</v>
      </c>
      <c r="L120" s="5">
        <v>5508</v>
      </c>
    </row>
    <row r="121" spans="8:12" ht="17.25" thickBot="1">
      <c r="H121" s="5">
        <v>120</v>
      </c>
      <c r="I121" s="5">
        <v>20</v>
      </c>
      <c r="J121" s="5">
        <v>1093</v>
      </c>
      <c r="K121" s="5">
        <v>100</v>
      </c>
      <c r="L121" s="5">
        <v>5608</v>
      </c>
    </row>
    <row r="122" spans="8:12" ht="17.25" thickBot="1">
      <c r="H122" s="5">
        <v>121</v>
      </c>
      <c r="I122" s="5">
        <v>20</v>
      </c>
      <c r="J122" s="5">
        <v>1113</v>
      </c>
      <c r="K122" s="4">
        <v>100</v>
      </c>
      <c r="L122" s="5">
        <v>5708</v>
      </c>
    </row>
    <row r="123" spans="8:12" ht="17.25" thickBot="1">
      <c r="H123" s="5">
        <v>122</v>
      </c>
      <c r="I123" s="5">
        <v>20</v>
      </c>
      <c r="J123" s="5">
        <v>1133</v>
      </c>
      <c r="K123" s="5">
        <v>100</v>
      </c>
      <c r="L123" s="5">
        <v>5808</v>
      </c>
    </row>
    <row r="124" spans="8:12" ht="17.25" thickBot="1">
      <c r="H124" s="5">
        <v>123</v>
      </c>
      <c r="I124" s="5">
        <v>20</v>
      </c>
      <c r="J124" s="5">
        <v>1153</v>
      </c>
      <c r="K124" s="4">
        <v>100</v>
      </c>
      <c r="L124" s="5">
        <v>5908</v>
      </c>
    </row>
    <row r="125" spans="8:12" ht="17.25" thickBot="1">
      <c r="H125" s="5">
        <v>124</v>
      </c>
      <c r="I125" s="5">
        <v>20</v>
      </c>
      <c r="J125" s="5">
        <v>1173</v>
      </c>
      <c r="K125" s="5">
        <v>100</v>
      </c>
      <c r="L125" s="5">
        <v>6008</v>
      </c>
    </row>
    <row r="126" spans="8:12" ht="17.25" thickBot="1">
      <c r="H126" s="5">
        <v>125</v>
      </c>
      <c r="I126" s="5">
        <v>20</v>
      </c>
      <c r="J126" s="5">
        <v>1193</v>
      </c>
      <c r="K126" s="4">
        <v>100</v>
      </c>
      <c r="L126" s="5">
        <v>6108</v>
      </c>
    </row>
    <row r="127" spans="8:12" ht="17.25" thickBot="1">
      <c r="H127" s="5">
        <v>126</v>
      </c>
      <c r="I127" s="5">
        <v>20</v>
      </c>
      <c r="J127" s="5">
        <v>1213</v>
      </c>
      <c r="K127" s="5">
        <v>100</v>
      </c>
      <c r="L127" s="5">
        <v>6208</v>
      </c>
    </row>
    <row r="128" spans="8:12" ht="17.25" thickBot="1">
      <c r="H128" s="5">
        <v>127</v>
      </c>
      <c r="I128" s="5">
        <v>20</v>
      </c>
      <c r="J128" s="5">
        <v>1233</v>
      </c>
      <c r="K128" s="4">
        <v>100</v>
      </c>
      <c r="L128" s="5">
        <v>6308</v>
      </c>
    </row>
    <row r="129" spans="8:12" ht="17.25" thickBot="1">
      <c r="H129" s="5">
        <v>128</v>
      </c>
      <c r="I129" s="5">
        <v>20</v>
      </c>
      <c r="J129" s="5">
        <v>1253</v>
      </c>
      <c r="K129" s="5">
        <v>100</v>
      </c>
      <c r="L129" s="5">
        <v>6408</v>
      </c>
    </row>
    <row r="130" spans="8:12" ht="17.25" thickBot="1">
      <c r="H130" s="5">
        <v>129</v>
      </c>
      <c r="I130" s="5">
        <v>20</v>
      </c>
      <c r="J130" s="5">
        <v>1273</v>
      </c>
      <c r="K130" s="4">
        <v>100</v>
      </c>
      <c r="L130" s="5">
        <v>6508</v>
      </c>
    </row>
    <row r="131" spans="8:12" ht="17.25" thickBot="1">
      <c r="H131" s="5">
        <v>130</v>
      </c>
      <c r="I131" s="5">
        <v>20</v>
      </c>
      <c r="J131" s="5">
        <v>1293</v>
      </c>
      <c r="K131" s="5">
        <v>100</v>
      </c>
      <c r="L131" s="5">
        <v>6608</v>
      </c>
    </row>
    <row r="132" spans="8:12" ht="17.25" thickBot="1">
      <c r="H132" s="5">
        <v>131</v>
      </c>
      <c r="I132" s="5">
        <v>20</v>
      </c>
      <c r="J132" s="5">
        <v>1313</v>
      </c>
      <c r="K132" s="4">
        <v>100</v>
      </c>
      <c r="L132" s="5">
        <v>6708</v>
      </c>
    </row>
    <row r="133" spans="8:12" ht="17.25" thickBot="1">
      <c r="H133" s="5">
        <v>132</v>
      </c>
      <c r="I133" s="5">
        <v>20</v>
      </c>
      <c r="J133" s="5">
        <v>1333</v>
      </c>
      <c r="K133" s="5">
        <v>100</v>
      </c>
      <c r="L133" s="5">
        <v>6808</v>
      </c>
    </row>
    <row r="134" spans="8:12" ht="17.25" thickBot="1">
      <c r="H134" s="5">
        <v>133</v>
      </c>
      <c r="I134" s="5">
        <v>20</v>
      </c>
      <c r="J134" s="5">
        <v>1353</v>
      </c>
      <c r="K134" s="4">
        <v>100</v>
      </c>
      <c r="L134" s="5">
        <v>6908</v>
      </c>
    </row>
    <row r="135" spans="8:12" ht="17.25" thickBot="1">
      <c r="H135" s="5">
        <v>134</v>
      </c>
      <c r="I135" s="5">
        <v>20</v>
      </c>
      <c r="J135" s="5">
        <v>1373</v>
      </c>
      <c r="K135" s="5">
        <v>100</v>
      </c>
      <c r="L135" s="5">
        <v>7008</v>
      </c>
    </row>
    <row r="136" spans="8:12" ht="17.25" thickBot="1">
      <c r="H136" s="5">
        <v>135</v>
      </c>
      <c r="I136" s="5">
        <v>20</v>
      </c>
      <c r="J136" s="5">
        <v>1393</v>
      </c>
      <c r="K136" s="4">
        <v>100</v>
      </c>
      <c r="L136" s="5">
        <v>7108</v>
      </c>
    </row>
    <row r="137" spans="8:12" ht="17.25" thickBot="1">
      <c r="H137" s="5">
        <v>136</v>
      </c>
      <c r="I137" s="5">
        <v>20</v>
      </c>
      <c r="J137" s="5">
        <v>1413</v>
      </c>
      <c r="K137" s="5">
        <v>100</v>
      </c>
      <c r="L137" s="5">
        <v>7208</v>
      </c>
    </row>
    <row r="138" spans="8:12" ht="17.25" thickBot="1">
      <c r="H138" s="5">
        <v>137</v>
      </c>
      <c r="I138" s="5">
        <v>20</v>
      </c>
      <c r="J138" s="5">
        <v>1433</v>
      </c>
      <c r="K138" s="4">
        <v>100</v>
      </c>
      <c r="L138" s="5">
        <v>7308</v>
      </c>
    </row>
    <row r="139" spans="8:12" ht="17.25" thickBot="1">
      <c r="H139" s="5">
        <v>138</v>
      </c>
      <c r="I139" s="5">
        <v>20</v>
      </c>
      <c r="J139" s="5">
        <v>1453</v>
      </c>
      <c r="K139" s="5">
        <v>100</v>
      </c>
      <c r="L139" s="5">
        <v>7408</v>
      </c>
    </row>
    <row r="140" spans="8:12" ht="17.25" thickBot="1">
      <c r="H140" s="5">
        <v>139</v>
      </c>
      <c r="I140" s="5">
        <v>20</v>
      </c>
      <c r="J140" s="5">
        <v>1473</v>
      </c>
      <c r="K140" s="4">
        <v>100</v>
      </c>
      <c r="L140" s="5">
        <v>7508</v>
      </c>
    </row>
    <row r="141" spans="8:12" ht="17.25" thickBot="1">
      <c r="H141" s="5">
        <v>140</v>
      </c>
      <c r="I141" s="5">
        <v>20</v>
      </c>
      <c r="J141" s="5">
        <v>1493</v>
      </c>
      <c r="K141" s="5">
        <v>100</v>
      </c>
      <c r="L141" s="5">
        <v>7608</v>
      </c>
    </row>
    <row r="142" spans="8:12" ht="17.25" thickBot="1">
      <c r="H142" s="5">
        <v>141</v>
      </c>
      <c r="I142" s="5">
        <v>20</v>
      </c>
      <c r="J142" s="5">
        <v>1513</v>
      </c>
      <c r="K142" s="4">
        <v>100</v>
      </c>
      <c r="L142" s="5">
        <v>7708</v>
      </c>
    </row>
    <row r="143" spans="8:12" ht="17.25" thickBot="1">
      <c r="H143" s="5">
        <v>142</v>
      </c>
      <c r="I143" s="5">
        <v>20</v>
      </c>
      <c r="J143" s="5">
        <v>1533</v>
      </c>
      <c r="K143" s="5">
        <v>100</v>
      </c>
      <c r="L143" s="5">
        <v>7808</v>
      </c>
    </row>
    <row r="144" spans="8:12" ht="17.25" thickBot="1">
      <c r="H144" s="5">
        <v>143</v>
      </c>
      <c r="I144" s="5">
        <v>20</v>
      </c>
      <c r="J144" s="5">
        <v>1553</v>
      </c>
      <c r="K144" s="4">
        <v>100</v>
      </c>
      <c r="L144" s="5">
        <v>7908</v>
      </c>
    </row>
    <row r="145" spans="8:12" ht="17.25" thickBot="1">
      <c r="H145" s="5">
        <v>144</v>
      </c>
      <c r="I145" s="5">
        <v>20</v>
      </c>
      <c r="J145" s="5">
        <v>1573</v>
      </c>
      <c r="K145" s="5">
        <v>100</v>
      </c>
      <c r="L145" s="5">
        <v>8008</v>
      </c>
    </row>
    <row r="146" spans="8:12" ht="17.25" thickBot="1">
      <c r="H146" s="5">
        <v>145</v>
      </c>
      <c r="I146" s="5">
        <v>20</v>
      </c>
      <c r="J146" s="5">
        <v>1593</v>
      </c>
      <c r="K146" s="4">
        <v>100</v>
      </c>
      <c r="L146" s="5">
        <v>8108</v>
      </c>
    </row>
    <row r="147" spans="8:12" ht="17.25" thickBot="1">
      <c r="H147" s="5">
        <v>146</v>
      </c>
      <c r="I147" s="5">
        <v>20</v>
      </c>
      <c r="J147" s="5">
        <v>1613</v>
      </c>
      <c r="K147" s="5">
        <v>100</v>
      </c>
      <c r="L147" s="5">
        <v>8208</v>
      </c>
    </row>
    <row r="148" spans="8:12" ht="17.25" thickBot="1">
      <c r="H148" s="5">
        <v>147</v>
      </c>
      <c r="I148" s="5">
        <v>20</v>
      </c>
      <c r="J148" s="5">
        <v>1633</v>
      </c>
      <c r="K148" s="4">
        <v>100</v>
      </c>
      <c r="L148" s="5">
        <v>8308</v>
      </c>
    </row>
    <row r="149" spans="8:12" ht="17.25" thickBot="1">
      <c r="H149" s="5">
        <v>148</v>
      </c>
      <c r="I149" s="5">
        <v>20</v>
      </c>
      <c r="J149" s="5">
        <v>1653</v>
      </c>
      <c r="K149" s="5">
        <v>100</v>
      </c>
      <c r="L149" s="5">
        <v>8408</v>
      </c>
    </row>
    <row r="150" spans="8:12" ht="17.25" thickBot="1">
      <c r="H150" s="5">
        <v>149</v>
      </c>
      <c r="I150" s="5">
        <v>20</v>
      </c>
      <c r="J150" s="5">
        <v>1673</v>
      </c>
      <c r="K150" s="4">
        <v>100</v>
      </c>
      <c r="L150" s="5">
        <v>8508</v>
      </c>
    </row>
    <row r="151" spans="8:12">
      <c r="H151" s="5">
        <v>150</v>
      </c>
      <c r="I151" s="5">
        <v>20</v>
      </c>
      <c r="J151" s="5">
        <v>1693</v>
      </c>
      <c r="K151" s="5">
        <v>100</v>
      </c>
      <c r="L151" s="5">
        <v>8608</v>
      </c>
    </row>
  </sheetData>
  <phoneticPr fontId="1" type="noConversion"/>
  <dataValidations count="1">
    <dataValidation type="list" allowBlank="1" showInputMessage="1" showErrorMessage="1" sqref="A6 D6" xr:uid="{56A8FA30-4B75-4A16-A8A8-7EB5E61001FE}">
      <formula1>$H$2:$H$151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1008-3D8B-407C-9D1E-C91145F3C876}">
  <dimension ref="A1:U44"/>
  <sheetViews>
    <sheetView workbookViewId="0">
      <selection activeCell="C14" sqref="C14"/>
    </sheetView>
  </sheetViews>
  <sheetFormatPr defaultRowHeight="16.5"/>
  <cols>
    <col min="7" max="7" width="5.25" bestFit="1" customWidth="1"/>
    <col min="10" max="10" width="5.25" bestFit="1" customWidth="1"/>
    <col min="11" max="11" width="11.625" bestFit="1" customWidth="1"/>
    <col min="12" max="12" width="7.125" bestFit="1" customWidth="1"/>
    <col min="13" max="13" width="9.625" bestFit="1" customWidth="1"/>
    <col min="14" max="14" width="7.75" bestFit="1" customWidth="1"/>
    <col min="15" max="15" width="7.125" bestFit="1" customWidth="1"/>
    <col min="16" max="16" width="9.625" bestFit="1" customWidth="1"/>
    <col min="17" max="20" width="5.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105</v>
      </c>
      <c r="H1" t="s">
        <v>19</v>
      </c>
      <c r="I1" t="s">
        <v>152</v>
      </c>
      <c r="J1" t="s">
        <v>53</v>
      </c>
      <c r="K1" t="s">
        <v>0</v>
      </c>
      <c r="L1" t="s">
        <v>210</v>
      </c>
      <c r="M1" t="s">
        <v>6</v>
      </c>
      <c r="N1" t="s">
        <v>7</v>
      </c>
      <c r="O1" t="s">
        <v>211</v>
      </c>
      <c r="P1" t="s">
        <v>8</v>
      </c>
      <c r="Q1" t="s">
        <v>75</v>
      </c>
      <c r="R1" t="s">
        <v>76</v>
      </c>
      <c r="S1" t="s">
        <v>77</v>
      </c>
      <c r="T1" t="s">
        <v>53</v>
      </c>
      <c r="U1" t="s">
        <v>106</v>
      </c>
    </row>
    <row r="2" spans="1:21">
      <c r="A2" t="s">
        <v>115</v>
      </c>
      <c r="E2">
        <v>-3</v>
      </c>
      <c r="F2">
        <v>10</v>
      </c>
      <c r="K2" t="s">
        <v>62</v>
      </c>
      <c r="M2">
        <v>15</v>
      </c>
      <c r="N2">
        <v>15</v>
      </c>
      <c r="U2" t="s">
        <v>107</v>
      </c>
    </row>
    <row r="3" spans="1:21">
      <c r="A3" t="s">
        <v>116</v>
      </c>
      <c r="K3" t="s">
        <v>63</v>
      </c>
      <c r="L3">
        <v>20</v>
      </c>
      <c r="U3" t="s">
        <v>108</v>
      </c>
    </row>
    <row r="4" spans="1:21">
      <c r="A4" t="s">
        <v>117</v>
      </c>
      <c r="K4" t="s">
        <v>64</v>
      </c>
      <c r="L4">
        <v>20</v>
      </c>
      <c r="U4" t="s">
        <v>109</v>
      </c>
    </row>
    <row r="5" spans="1:21">
      <c r="A5" t="s">
        <v>118</v>
      </c>
      <c r="F5">
        <v>15</v>
      </c>
      <c r="K5" t="s">
        <v>65</v>
      </c>
      <c r="O5">
        <v>15</v>
      </c>
      <c r="P5">
        <v>15</v>
      </c>
      <c r="U5" t="s">
        <v>110</v>
      </c>
    </row>
    <row r="6" spans="1:21">
      <c r="A6" t="s">
        <v>119</v>
      </c>
      <c r="B6">
        <v>25</v>
      </c>
      <c r="K6" t="s">
        <v>66</v>
      </c>
      <c r="U6" t="s">
        <v>111</v>
      </c>
    </row>
    <row r="7" spans="1:21">
      <c r="A7" t="s">
        <v>120</v>
      </c>
      <c r="F7">
        <v>20</v>
      </c>
      <c r="K7" t="s">
        <v>67</v>
      </c>
      <c r="M7">
        <v>10</v>
      </c>
      <c r="N7">
        <v>10</v>
      </c>
    </row>
    <row r="8" spans="1:21">
      <c r="A8" t="s">
        <v>121</v>
      </c>
      <c r="C8">
        <v>10</v>
      </c>
      <c r="D8">
        <v>10</v>
      </c>
      <c r="K8" t="s">
        <v>68</v>
      </c>
      <c r="L8">
        <v>15</v>
      </c>
    </row>
    <row r="9" spans="1:21">
      <c r="A9" t="s">
        <v>122</v>
      </c>
      <c r="B9">
        <v>20</v>
      </c>
      <c r="C9">
        <v>-5</v>
      </c>
      <c r="D9">
        <v>-5</v>
      </c>
      <c r="E9">
        <v>20</v>
      </c>
      <c r="F9">
        <v>20</v>
      </c>
      <c r="K9" t="s">
        <v>69</v>
      </c>
      <c r="N9">
        <v>15</v>
      </c>
    </row>
    <row r="10" spans="1:21">
      <c r="A10" t="s">
        <v>123</v>
      </c>
      <c r="B10">
        <v>15</v>
      </c>
      <c r="E10">
        <v>-5</v>
      </c>
      <c r="F10">
        <v>25</v>
      </c>
      <c r="K10" t="s">
        <v>70</v>
      </c>
      <c r="M10">
        <v>10</v>
      </c>
      <c r="N10">
        <v>8</v>
      </c>
      <c r="P10">
        <v>-5</v>
      </c>
    </row>
    <row r="11" spans="1:21">
      <c r="A11" t="s">
        <v>124</v>
      </c>
      <c r="K11" t="s">
        <v>71</v>
      </c>
      <c r="L11">
        <v>15</v>
      </c>
      <c r="M11">
        <v>20</v>
      </c>
      <c r="O11">
        <v>-3</v>
      </c>
    </row>
    <row r="12" spans="1:21">
      <c r="A12" t="s">
        <v>125</v>
      </c>
      <c r="C12">
        <v>20</v>
      </c>
      <c r="K12" t="s">
        <v>72</v>
      </c>
    </row>
    <row r="13" spans="1:21">
      <c r="A13" t="s">
        <v>126</v>
      </c>
      <c r="D13">
        <v>15</v>
      </c>
      <c r="K13" t="s">
        <v>73</v>
      </c>
    </row>
    <row r="14" spans="1:21">
      <c r="A14" t="s">
        <v>127</v>
      </c>
      <c r="B14">
        <v>15</v>
      </c>
      <c r="C14">
        <v>10</v>
      </c>
      <c r="K14" t="s">
        <v>74</v>
      </c>
      <c r="L14">
        <v>20</v>
      </c>
      <c r="R14">
        <v>10</v>
      </c>
    </row>
    <row r="15" spans="1:21">
      <c r="A15" t="s">
        <v>128</v>
      </c>
      <c r="J15">
        <v>9</v>
      </c>
      <c r="K15" t="s">
        <v>78</v>
      </c>
      <c r="M15">
        <v>5</v>
      </c>
      <c r="N15">
        <v>10</v>
      </c>
    </row>
    <row r="16" spans="1:21">
      <c r="A16" t="s">
        <v>129</v>
      </c>
      <c r="J16">
        <v>8</v>
      </c>
      <c r="K16" t="s">
        <v>79</v>
      </c>
    </row>
    <row r="17" spans="1:20">
      <c r="A17" t="s">
        <v>130</v>
      </c>
      <c r="J17">
        <v>10</v>
      </c>
      <c r="K17" t="s">
        <v>80</v>
      </c>
      <c r="L17">
        <v>10</v>
      </c>
      <c r="M17">
        <v>-5</v>
      </c>
      <c r="P17">
        <v>5</v>
      </c>
    </row>
    <row r="18" spans="1:20">
      <c r="A18" t="s">
        <v>131</v>
      </c>
      <c r="J18">
        <v>10</v>
      </c>
      <c r="K18" t="s">
        <v>81</v>
      </c>
      <c r="M18">
        <v>10</v>
      </c>
      <c r="N18">
        <v>5</v>
      </c>
      <c r="O18">
        <v>-5</v>
      </c>
    </row>
    <row r="19" spans="1:20">
      <c r="A19" t="s">
        <v>132</v>
      </c>
      <c r="J19">
        <v>10</v>
      </c>
      <c r="K19" t="s">
        <v>82</v>
      </c>
      <c r="L19">
        <v>10</v>
      </c>
      <c r="N19">
        <v>10</v>
      </c>
      <c r="P19">
        <v>10</v>
      </c>
    </row>
    <row r="20" spans="1:20">
      <c r="A20" t="s">
        <v>133</v>
      </c>
      <c r="J20">
        <v>10</v>
      </c>
      <c r="K20" t="s">
        <v>83</v>
      </c>
      <c r="L20">
        <v>-7</v>
      </c>
      <c r="M20">
        <v>20</v>
      </c>
      <c r="P20">
        <v>-7</v>
      </c>
    </row>
    <row r="21" spans="1:20">
      <c r="A21" t="s">
        <v>134</v>
      </c>
      <c r="J21">
        <v>10</v>
      </c>
      <c r="K21" t="s">
        <v>84</v>
      </c>
    </row>
    <row r="22" spans="1:20">
      <c r="A22" t="s">
        <v>135</v>
      </c>
      <c r="J22">
        <v>10</v>
      </c>
      <c r="K22" t="s">
        <v>85</v>
      </c>
    </row>
    <row r="23" spans="1:20">
      <c r="A23" t="s">
        <v>136</v>
      </c>
      <c r="K23" t="s">
        <v>86</v>
      </c>
    </row>
    <row r="24" spans="1:20">
      <c r="A24" t="s">
        <v>137</v>
      </c>
      <c r="K24" t="s">
        <v>87</v>
      </c>
    </row>
    <row r="25" spans="1:20">
      <c r="A25" t="s">
        <v>138</v>
      </c>
      <c r="H25">
        <v>5</v>
      </c>
      <c r="K25" t="s">
        <v>88</v>
      </c>
    </row>
    <row r="26" spans="1:20">
      <c r="A26" t="s">
        <v>139</v>
      </c>
      <c r="K26" t="s">
        <v>89</v>
      </c>
    </row>
    <row r="27" spans="1:20">
      <c r="A27" t="s">
        <v>140</v>
      </c>
      <c r="K27" t="s">
        <v>90</v>
      </c>
    </row>
    <row r="28" spans="1:20">
      <c r="A28" t="s">
        <v>141</v>
      </c>
      <c r="K28" t="s">
        <v>91</v>
      </c>
      <c r="T28">
        <v>10</v>
      </c>
    </row>
    <row r="29" spans="1:20">
      <c r="A29" t="s">
        <v>142</v>
      </c>
      <c r="B29">
        <v>-5</v>
      </c>
      <c r="C29">
        <v>10</v>
      </c>
      <c r="D29">
        <v>10</v>
      </c>
      <c r="K29" t="s">
        <v>92</v>
      </c>
      <c r="T29">
        <v>10</v>
      </c>
    </row>
    <row r="30" spans="1:20">
      <c r="A30" t="s">
        <v>143</v>
      </c>
      <c r="K30" t="s">
        <v>93</v>
      </c>
      <c r="T30">
        <v>10</v>
      </c>
    </row>
    <row r="31" spans="1:20">
      <c r="A31" t="s">
        <v>144</v>
      </c>
      <c r="K31" t="s">
        <v>94</v>
      </c>
      <c r="T31">
        <v>10</v>
      </c>
    </row>
    <row r="32" spans="1:20">
      <c r="A32" t="s">
        <v>145</v>
      </c>
      <c r="E32">
        <v>15</v>
      </c>
      <c r="H32">
        <v>10</v>
      </c>
      <c r="K32" t="s">
        <v>95</v>
      </c>
      <c r="T32">
        <v>10</v>
      </c>
    </row>
    <row r="33" spans="1:20">
      <c r="A33" t="s">
        <v>146</v>
      </c>
      <c r="K33" t="s">
        <v>96</v>
      </c>
      <c r="T33">
        <v>10</v>
      </c>
    </row>
    <row r="34" spans="1:20">
      <c r="A34" t="s">
        <v>147</v>
      </c>
      <c r="B34">
        <v>20</v>
      </c>
      <c r="C34">
        <v>-5</v>
      </c>
      <c r="K34" t="s">
        <v>97</v>
      </c>
      <c r="T34">
        <v>10</v>
      </c>
    </row>
    <row r="35" spans="1:20">
      <c r="A35" t="s">
        <v>148</v>
      </c>
      <c r="K35" t="s">
        <v>98</v>
      </c>
      <c r="T35">
        <v>10</v>
      </c>
    </row>
    <row r="36" spans="1:20">
      <c r="A36" t="s">
        <v>149</v>
      </c>
      <c r="K36" t="s">
        <v>99</v>
      </c>
      <c r="T36">
        <v>10</v>
      </c>
    </row>
    <row r="37" spans="1:20">
      <c r="K37" t="s">
        <v>100</v>
      </c>
      <c r="T37">
        <v>7</v>
      </c>
    </row>
    <row r="38" spans="1:20">
      <c r="K38" t="s">
        <v>101</v>
      </c>
      <c r="T38">
        <v>8</v>
      </c>
    </row>
    <row r="39" spans="1:20">
      <c r="K39" t="s">
        <v>102</v>
      </c>
      <c r="T39">
        <v>8</v>
      </c>
    </row>
    <row r="40" spans="1:20">
      <c r="K40" t="s">
        <v>103</v>
      </c>
      <c r="T40">
        <v>8.5</v>
      </c>
    </row>
    <row r="41" spans="1:20">
      <c r="K41" t="s">
        <v>104</v>
      </c>
      <c r="T41">
        <v>4</v>
      </c>
    </row>
    <row r="42" spans="1:20">
      <c r="K42" t="s">
        <v>112</v>
      </c>
    </row>
    <row r="43" spans="1:20">
      <c r="K43" t="s">
        <v>113</v>
      </c>
    </row>
    <row r="44" spans="1:20">
      <c r="K44" t="s">
        <v>114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6102-A22E-4950-9997-45B6C37E4186}">
  <dimension ref="A1:T33"/>
  <sheetViews>
    <sheetView topLeftCell="A9" workbookViewId="0">
      <selection activeCell="M17" sqref="M17:M33"/>
    </sheetView>
  </sheetViews>
  <sheetFormatPr defaultRowHeight="16.5"/>
  <cols>
    <col min="1" max="1" width="11" bestFit="1" customWidth="1"/>
  </cols>
  <sheetData>
    <row r="1" spans="1:20">
      <c r="A1" t="s">
        <v>9</v>
      </c>
      <c r="B1" t="s">
        <v>10</v>
      </c>
      <c r="C1" t="s">
        <v>209</v>
      </c>
      <c r="G1" t="s">
        <v>60</v>
      </c>
    </row>
    <row r="2" spans="1:20">
      <c r="A2" t="s">
        <v>11</v>
      </c>
      <c r="B2">
        <v>30</v>
      </c>
      <c r="C2">
        <v>80</v>
      </c>
      <c r="G2">
        <v>0</v>
      </c>
    </row>
    <row r="3" spans="1:20">
      <c r="A3" t="s">
        <v>12</v>
      </c>
      <c r="B3">
        <v>30</v>
      </c>
      <c r="C3">
        <v>80</v>
      </c>
      <c r="G3">
        <v>1</v>
      </c>
    </row>
    <row r="4" spans="1:20">
      <c r="A4" t="s">
        <v>13</v>
      </c>
      <c r="B4">
        <v>40</v>
      </c>
      <c r="C4">
        <v>80</v>
      </c>
      <c r="G4">
        <v>2</v>
      </c>
    </row>
    <row r="5" spans="1:20" ht="17.25" thickBot="1">
      <c r="A5" t="s">
        <v>14</v>
      </c>
      <c r="B5">
        <v>50</v>
      </c>
      <c r="C5">
        <v>100</v>
      </c>
      <c r="G5">
        <v>3</v>
      </c>
    </row>
    <row r="6" spans="1:20" ht="27" thickTop="1" thickBot="1">
      <c r="A6" t="s">
        <v>15</v>
      </c>
      <c r="B6">
        <v>40</v>
      </c>
      <c r="C6">
        <v>90</v>
      </c>
      <c r="G6">
        <v>4</v>
      </c>
      <c r="L6" s="11" t="s">
        <v>214</v>
      </c>
      <c r="M6" s="12" t="s">
        <v>215</v>
      </c>
      <c r="N6" s="12" t="s">
        <v>216</v>
      </c>
      <c r="O6" s="12" t="s">
        <v>217</v>
      </c>
      <c r="P6" s="12" t="s">
        <v>218</v>
      </c>
      <c r="Q6" s="12" t="s">
        <v>219</v>
      </c>
      <c r="R6" s="12" t="s">
        <v>220</v>
      </c>
      <c r="S6" s="12" t="s">
        <v>221</v>
      </c>
      <c r="T6" s="12" t="s">
        <v>222</v>
      </c>
    </row>
    <row r="7" spans="1:20" ht="39" thickBot="1">
      <c r="A7" t="s">
        <v>54</v>
      </c>
      <c r="B7">
        <v>40</v>
      </c>
      <c r="C7">
        <v>90</v>
      </c>
      <c r="G7">
        <v>5</v>
      </c>
      <c r="L7" s="13" t="s">
        <v>231</v>
      </c>
      <c r="M7" s="18" t="s">
        <v>223</v>
      </c>
      <c r="N7" s="9">
        <v>100</v>
      </c>
      <c r="O7" s="9">
        <v>150</v>
      </c>
      <c r="P7" s="9">
        <v>200</v>
      </c>
      <c r="Q7" s="9">
        <v>250</v>
      </c>
      <c r="R7" s="9">
        <v>300</v>
      </c>
      <c r="S7" s="9">
        <v>500</v>
      </c>
      <c r="T7" s="10">
        <v>1500</v>
      </c>
    </row>
    <row r="8" spans="1:20" ht="26.25" thickBot="1">
      <c r="A8" t="s">
        <v>48</v>
      </c>
      <c r="B8">
        <v>50</v>
      </c>
      <c r="C8">
        <v>90</v>
      </c>
      <c r="G8">
        <v>6</v>
      </c>
      <c r="L8" s="13" t="s">
        <v>224</v>
      </c>
      <c r="M8" s="19"/>
      <c r="N8" s="8">
        <v>50</v>
      </c>
      <c r="O8" s="8">
        <v>100</v>
      </c>
      <c r="P8" s="8">
        <v>150</v>
      </c>
      <c r="Q8" s="8">
        <v>200</v>
      </c>
      <c r="R8" s="8">
        <v>250</v>
      </c>
      <c r="S8" s="8">
        <v>300</v>
      </c>
      <c r="T8" s="10">
        <v>1050</v>
      </c>
    </row>
    <row r="9" spans="1:20" ht="27" thickTop="1" thickBot="1">
      <c r="A9" t="s">
        <v>49</v>
      </c>
      <c r="B9">
        <v>50</v>
      </c>
      <c r="C9">
        <v>90</v>
      </c>
      <c r="G9">
        <v>7</v>
      </c>
      <c r="L9" s="11" t="s">
        <v>214</v>
      </c>
      <c r="M9" s="12" t="s">
        <v>215</v>
      </c>
      <c r="N9" s="12" t="s">
        <v>216</v>
      </c>
      <c r="O9" s="12" t="s">
        <v>217</v>
      </c>
      <c r="P9" s="12" t="s">
        <v>218</v>
      </c>
      <c r="Q9" s="12" t="s">
        <v>219</v>
      </c>
      <c r="R9" s="12" t="s">
        <v>220</v>
      </c>
      <c r="S9" s="12" t="s">
        <v>221</v>
      </c>
      <c r="T9" s="12" t="s">
        <v>222</v>
      </c>
    </row>
    <row r="10" spans="1:20" ht="17.25" thickBot="1">
      <c r="A10" t="s">
        <v>50</v>
      </c>
      <c r="B10">
        <v>50</v>
      </c>
      <c r="C10">
        <v>90</v>
      </c>
      <c r="G10">
        <v>8</v>
      </c>
      <c r="L10" s="20" t="s">
        <v>225</v>
      </c>
      <c r="M10" s="8" t="s">
        <v>226</v>
      </c>
      <c r="N10" s="8">
        <v>30</v>
      </c>
      <c r="O10" s="8">
        <v>60</v>
      </c>
      <c r="P10" s="14" t="s">
        <v>227</v>
      </c>
      <c r="Q10" s="14" t="s">
        <v>227</v>
      </c>
      <c r="R10" s="14" t="s">
        <v>227</v>
      </c>
      <c r="S10" s="14" t="s">
        <v>227</v>
      </c>
      <c r="T10" s="9">
        <v>90</v>
      </c>
    </row>
    <row r="11" spans="1:20" ht="17.25" thickBot="1">
      <c r="A11" t="s">
        <v>51</v>
      </c>
      <c r="B11">
        <v>50</v>
      </c>
      <c r="C11">
        <v>120</v>
      </c>
      <c r="G11">
        <v>9</v>
      </c>
      <c r="L11" s="21"/>
      <c r="M11" s="8" t="s">
        <v>228</v>
      </c>
      <c r="N11" s="8">
        <v>30</v>
      </c>
      <c r="O11" s="8">
        <v>60</v>
      </c>
      <c r="P11" s="8">
        <v>90</v>
      </c>
      <c r="Q11" s="14" t="s">
        <v>227</v>
      </c>
      <c r="R11" s="14" t="s">
        <v>227</v>
      </c>
      <c r="S11" s="14" t="s">
        <v>227</v>
      </c>
      <c r="T11" s="9">
        <v>180</v>
      </c>
    </row>
    <row r="12" spans="1:20" ht="17.25" thickBot="1">
      <c r="A12" t="s">
        <v>52</v>
      </c>
      <c r="B12">
        <v>300</v>
      </c>
      <c r="C12">
        <v>0</v>
      </c>
      <c r="G12">
        <v>10</v>
      </c>
      <c r="L12" s="21"/>
      <c r="M12" s="8" t="s">
        <v>229</v>
      </c>
      <c r="N12" s="8">
        <v>30</v>
      </c>
      <c r="O12" s="8">
        <v>60</v>
      </c>
      <c r="P12" s="8">
        <v>90</v>
      </c>
      <c r="Q12" s="8">
        <v>120</v>
      </c>
      <c r="R12" s="14" t="s">
        <v>227</v>
      </c>
      <c r="S12" s="14" t="s">
        <v>227</v>
      </c>
      <c r="T12" s="9">
        <v>300</v>
      </c>
    </row>
    <row r="13" spans="1:20" ht="17.25" thickBot="1">
      <c r="G13">
        <v>11</v>
      </c>
      <c r="L13" s="21"/>
      <c r="M13" s="8" t="s">
        <v>230</v>
      </c>
      <c r="N13" s="8">
        <v>30</v>
      </c>
      <c r="O13" s="8">
        <v>60</v>
      </c>
      <c r="P13" s="8">
        <v>90</v>
      </c>
      <c r="Q13" s="8">
        <v>120</v>
      </c>
      <c r="R13" s="8">
        <v>150</v>
      </c>
      <c r="S13" s="14" t="s">
        <v>227</v>
      </c>
      <c r="T13" s="9">
        <v>450</v>
      </c>
    </row>
    <row r="14" spans="1:20" ht="17.25" thickBot="1">
      <c r="G14">
        <v>12</v>
      </c>
      <c r="L14" s="22"/>
      <c r="M14" s="9" t="s">
        <v>223</v>
      </c>
      <c r="N14" s="9">
        <v>30</v>
      </c>
      <c r="O14" s="9">
        <v>60</v>
      </c>
      <c r="P14" s="9">
        <v>90</v>
      </c>
      <c r="Q14" s="9">
        <v>120</v>
      </c>
      <c r="R14" s="9">
        <v>150</v>
      </c>
      <c r="S14" s="9">
        <v>180</v>
      </c>
      <c r="T14" s="9">
        <v>630</v>
      </c>
    </row>
    <row r="15" spans="1:20">
      <c r="G15">
        <v>13</v>
      </c>
      <c r="L15" s="15" t="s">
        <v>227</v>
      </c>
    </row>
    <row r="16" spans="1:20">
      <c r="G16">
        <v>14</v>
      </c>
    </row>
    <row r="17" spans="1:19">
      <c r="G17">
        <v>15</v>
      </c>
      <c r="L17" t="s">
        <v>257</v>
      </c>
      <c r="M17" t="s">
        <v>242</v>
      </c>
      <c r="N17" t="s">
        <v>251</v>
      </c>
      <c r="O17" t="s">
        <v>252</v>
      </c>
      <c r="P17" t="s">
        <v>253</v>
      </c>
      <c r="Q17" t="s">
        <v>254</v>
      </c>
      <c r="R17" t="s">
        <v>255</v>
      </c>
      <c r="S17" t="s">
        <v>256</v>
      </c>
    </row>
    <row r="18" spans="1:19">
      <c r="L18" t="s">
        <v>240</v>
      </c>
      <c r="M18">
        <v>1</v>
      </c>
      <c r="N18">
        <v>30</v>
      </c>
      <c r="O18">
        <v>90</v>
      </c>
    </row>
    <row r="19" spans="1:19">
      <c r="L19" t="s">
        <v>240</v>
      </c>
      <c r="M19">
        <v>2</v>
      </c>
      <c r="N19">
        <v>30</v>
      </c>
      <c r="O19">
        <v>90</v>
      </c>
      <c r="P19">
        <v>180</v>
      </c>
    </row>
    <row r="20" spans="1:19">
      <c r="L20" t="s">
        <v>240</v>
      </c>
      <c r="M20">
        <v>3</v>
      </c>
      <c r="N20">
        <v>30</v>
      </c>
      <c r="O20">
        <v>90</v>
      </c>
      <c r="P20">
        <v>180</v>
      </c>
      <c r="Q20">
        <v>300</v>
      </c>
    </row>
    <row r="21" spans="1:19">
      <c r="L21" t="s">
        <v>240</v>
      </c>
      <c r="M21">
        <v>4</v>
      </c>
      <c r="N21">
        <v>30</v>
      </c>
      <c r="O21">
        <v>90</v>
      </c>
      <c r="P21">
        <v>180</v>
      </c>
      <c r="Q21">
        <v>300</v>
      </c>
      <c r="R21">
        <v>450</v>
      </c>
    </row>
    <row r="22" spans="1:19">
      <c r="A22" s="16" t="s">
        <v>232</v>
      </c>
      <c r="L22" t="s">
        <v>240</v>
      </c>
      <c r="M22">
        <v>5</v>
      </c>
      <c r="N22">
        <v>90</v>
      </c>
      <c r="O22">
        <v>90</v>
      </c>
      <c r="P22">
        <v>180</v>
      </c>
      <c r="Q22">
        <v>300</v>
      </c>
      <c r="R22">
        <v>450</v>
      </c>
      <c r="S22">
        <v>630</v>
      </c>
    </row>
    <row r="23" spans="1:19">
      <c r="A23" s="17" t="s">
        <v>233</v>
      </c>
      <c r="L23" t="s">
        <v>241</v>
      </c>
      <c r="M23">
        <v>4</v>
      </c>
      <c r="N23">
        <v>30</v>
      </c>
      <c r="O23">
        <v>90</v>
      </c>
      <c r="P23">
        <v>180</v>
      </c>
      <c r="Q23">
        <v>300</v>
      </c>
      <c r="R23">
        <v>450</v>
      </c>
    </row>
    <row r="24" spans="1:19">
      <c r="A24" s="17" t="s">
        <v>234</v>
      </c>
      <c r="L24" t="s">
        <v>241</v>
      </c>
      <c r="M24">
        <v>5</v>
      </c>
      <c r="N24">
        <v>90</v>
      </c>
      <c r="O24">
        <v>90</v>
      </c>
      <c r="P24">
        <v>180</v>
      </c>
      <c r="Q24">
        <v>300</v>
      </c>
      <c r="R24">
        <v>450</v>
      </c>
      <c r="S24">
        <v>630</v>
      </c>
    </row>
    <row r="25" spans="1:19">
      <c r="A25" s="17" t="s">
        <v>235</v>
      </c>
      <c r="L25" t="s">
        <v>243</v>
      </c>
      <c r="M25">
        <v>3</v>
      </c>
      <c r="N25">
        <v>30</v>
      </c>
      <c r="O25">
        <v>90</v>
      </c>
      <c r="P25">
        <v>180</v>
      </c>
      <c r="Q25">
        <v>300</v>
      </c>
    </row>
    <row r="26" spans="1:19">
      <c r="A26" s="17" t="s">
        <v>236</v>
      </c>
      <c r="L26" t="s">
        <v>243</v>
      </c>
      <c r="M26">
        <v>4</v>
      </c>
      <c r="N26">
        <v>30</v>
      </c>
      <c r="O26">
        <v>90</v>
      </c>
      <c r="P26">
        <v>180</v>
      </c>
      <c r="Q26">
        <v>300</v>
      </c>
      <c r="R26">
        <v>450</v>
      </c>
    </row>
    <row r="27" spans="1:19">
      <c r="A27" s="17" t="s">
        <v>237</v>
      </c>
      <c r="L27" t="s">
        <v>246</v>
      </c>
      <c r="M27">
        <v>5</v>
      </c>
      <c r="N27">
        <v>50</v>
      </c>
      <c r="O27">
        <v>150</v>
      </c>
      <c r="P27">
        <v>300</v>
      </c>
      <c r="Q27">
        <v>500</v>
      </c>
      <c r="R27">
        <v>750</v>
      </c>
      <c r="S27">
        <v>1050</v>
      </c>
    </row>
    <row r="28" spans="1:19">
      <c r="A28" s="17" t="s">
        <v>238</v>
      </c>
      <c r="L28" t="s">
        <v>247</v>
      </c>
      <c r="M28">
        <v>5</v>
      </c>
      <c r="N28">
        <v>50</v>
      </c>
      <c r="O28">
        <v>150</v>
      </c>
      <c r="P28">
        <v>300</v>
      </c>
      <c r="Q28">
        <v>500</v>
      </c>
      <c r="R28">
        <v>750</v>
      </c>
      <c r="S28">
        <v>1050</v>
      </c>
    </row>
    <row r="29" spans="1:19">
      <c r="A29" s="17" t="s">
        <v>239</v>
      </c>
      <c r="L29" t="s">
        <v>248</v>
      </c>
      <c r="M29">
        <v>5</v>
      </c>
      <c r="N29">
        <v>50</v>
      </c>
      <c r="O29">
        <v>150</v>
      </c>
      <c r="P29">
        <v>300</v>
      </c>
      <c r="Q29">
        <v>500</v>
      </c>
      <c r="R29">
        <v>750</v>
      </c>
      <c r="S29">
        <v>1050</v>
      </c>
    </row>
    <row r="30" spans="1:19">
      <c r="L30" t="s">
        <v>249</v>
      </c>
      <c r="M30">
        <v>5</v>
      </c>
      <c r="N30">
        <v>100</v>
      </c>
      <c r="O30">
        <v>250</v>
      </c>
      <c r="P30">
        <v>450</v>
      </c>
      <c r="Q30">
        <v>700</v>
      </c>
      <c r="R30">
        <v>1000</v>
      </c>
      <c r="S30">
        <v>1500</v>
      </c>
    </row>
    <row r="31" spans="1:19">
      <c r="L31" t="s">
        <v>245</v>
      </c>
      <c r="M31">
        <v>5</v>
      </c>
      <c r="N31">
        <v>100</v>
      </c>
      <c r="O31">
        <v>250</v>
      </c>
      <c r="P31">
        <v>450</v>
      </c>
      <c r="Q31">
        <v>700</v>
      </c>
      <c r="R31">
        <v>1000</v>
      </c>
      <c r="S31">
        <v>1500</v>
      </c>
    </row>
    <row r="32" spans="1:19">
      <c r="L32" t="s">
        <v>244</v>
      </c>
      <c r="M32">
        <v>5</v>
      </c>
      <c r="N32">
        <v>100</v>
      </c>
      <c r="O32">
        <v>250</v>
      </c>
      <c r="P32">
        <v>450</v>
      </c>
      <c r="Q32">
        <v>700</v>
      </c>
      <c r="R32">
        <v>1000</v>
      </c>
      <c r="S32">
        <v>1500</v>
      </c>
    </row>
    <row r="33" spans="12:19">
      <c r="L33" t="s">
        <v>250</v>
      </c>
      <c r="M33">
        <v>5</v>
      </c>
      <c r="N33">
        <v>100</v>
      </c>
      <c r="O33">
        <v>250</v>
      </c>
      <c r="P33">
        <v>450</v>
      </c>
      <c r="Q33">
        <v>700</v>
      </c>
      <c r="R33">
        <v>1000</v>
      </c>
      <c r="S33">
        <v>1500</v>
      </c>
    </row>
  </sheetData>
  <mergeCells count="2">
    <mergeCell ref="M7:M8"/>
    <mergeCell ref="L10:L1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B936-F47C-42EC-B2FE-D7AB4B9ADA7A}">
  <dimension ref="A1:N30"/>
  <sheetViews>
    <sheetView topLeftCell="D1" workbookViewId="0">
      <selection activeCell="F13" sqref="F13"/>
    </sheetView>
  </sheetViews>
  <sheetFormatPr defaultRowHeight="16.5"/>
  <sheetData>
    <row r="1" spans="1:4">
      <c r="A1" t="s">
        <v>198</v>
      </c>
      <c r="B1" t="s">
        <v>206</v>
      </c>
      <c r="C1" t="s">
        <v>173</v>
      </c>
      <c r="D1" t="s">
        <v>179</v>
      </c>
    </row>
    <row r="2" spans="1:4">
      <c r="A2" t="s">
        <v>199</v>
      </c>
      <c r="B2">
        <v>1</v>
      </c>
      <c r="C2" t="s">
        <v>177</v>
      </c>
    </row>
    <row r="3" spans="1:4">
      <c r="A3" t="s">
        <v>200</v>
      </c>
      <c r="B3">
        <v>2</v>
      </c>
      <c r="C3" t="s">
        <v>178</v>
      </c>
    </row>
    <row r="4" spans="1:4">
      <c r="A4" t="s">
        <v>201</v>
      </c>
      <c r="B4">
        <v>3</v>
      </c>
    </row>
    <row r="5" spans="1:4">
      <c r="A5" t="s">
        <v>202</v>
      </c>
      <c r="B5">
        <v>4</v>
      </c>
    </row>
    <row r="6" spans="1:4">
      <c r="A6" t="s">
        <v>203</v>
      </c>
      <c r="B6">
        <v>5</v>
      </c>
    </row>
    <row r="7" spans="1:4">
      <c r="A7" t="s">
        <v>204</v>
      </c>
      <c r="B7">
        <v>0</v>
      </c>
    </row>
    <row r="8" spans="1:4">
      <c r="A8" t="s">
        <v>205</v>
      </c>
      <c r="B8">
        <v>0</v>
      </c>
    </row>
    <row r="10" spans="1:4">
      <c r="A10" t="s">
        <v>198</v>
      </c>
      <c r="B10" t="s">
        <v>206</v>
      </c>
    </row>
    <row r="11" spans="1:4">
      <c r="A11" t="s">
        <v>1</v>
      </c>
      <c r="B11">
        <v>1</v>
      </c>
    </row>
    <row r="12" spans="1:4">
      <c r="A12" t="s">
        <v>207</v>
      </c>
      <c r="B12">
        <v>2</v>
      </c>
    </row>
    <row r="13" spans="1:4">
      <c r="A13" t="s">
        <v>208</v>
      </c>
      <c r="B13">
        <v>3</v>
      </c>
    </row>
    <row r="14" spans="1:4">
      <c r="A14" t="s">
        <v>4</v>
      </c>
      <c r="B14">
        <v>4</v>
      </c>
    </row>
    <row r="15" spans="1:4">
      <c r="A15" t="s">
        <v>5</v>
      </c>
      <c r="B15">
        <v>5</v>
      </c>
    </row>
    <row r="16" spans="1:4">
      <c r="A16" t="s">
        <v>204</v>
      </c>
      <c r="B16">
        <v>0</v>
      </c>
    </row>
    <row r="17" spans="1:14">
      <c r="A17" t="s">
        <v>205</v>
      </c>
      <c r="B17">
        <v>0</v>
      </c>
    </row>
    <row r="27" spans="1:14">
      <c r="F27" s="3" t="s">
        <v>20</v>
      </c>
    </row>
    <row r="28" spans="1:14">
      <c r="F28" s="3"/>
      <c r="G28" s="3" t="str">
        <f>IF(F23="투수","무브먼트","컨택트")</f>
        <v>컨택트</v>
      </c>
      <c r="H28" s="3" t="str">
        <f>IF(F23="투수","장타억제","갭파워")</f>
        <v>갭파워</v>
      </c>
      <c r="I28" s="3" t="str">
        <f>IF(F23="투수","홈런억제","홈런파워")</f>
        <v>홈런파워</v>
      </c>
      <c r="J28" s="3" t="str">
        <f>IF(F23="투수","컨트롤","선구안")</f>
        <v>선구안</v>
      </c>
      <c r="K28" s="3" t="str">
        <f>IF(F23="투수","스터프","삼진회피")</f>
        <v>삼진회피</v>
      </c>
      <c r="L28" s="3" t="str">
        <f>IF(F23="투수","한계투구","도루")</f>
        <v>도루</v>
      </c>
      <c r="M28" s="3" t="str">
        <f>IF(F23="투수","주자견제","주루")</f>
        <v>주루</v>
      </c>
      <c r="N28" s="3" t="s">
        <v>18</v>
      </c>
    </row>
    <row r="29" spans="1:14">
      <c r="F29" t="s">
        <v>154</v>
      </c>
      <c r="G29" s="3">
        <v>32</v>
      </c>
      <c r="H29" s="3">
        <v>4</v>
      </c>
      <c r="I29" s="3">
        <v>272</v>
      </c>
      <c r="J29" s="3">
        <v>27</v>
      </c>
      <c r="K29" s="3">
        <v>4</v>
      </c>
      <c r="L29" s="3"/>
      <c r="M29" s="3"/>
      <c r="N29" s="3"/>
    </row>
    <row r="30" spans="1:14">
      <c r="F30" t="s">
        <v>155</v>
      </c>
      <c r="G30" s="3"/>
      <c r="H30" s="3">
        <v>22</v>
      </c>
      <c r="I30" s="3"/>
      <c r="J30" s="3">
        <v>307</v>
      </c>
      <c r="K30" s="3">
        <v>20</v>
      </c>
      <c r="L30" s="3"/>
      <c r="M30" s="3"/>
      <c r="N30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0271-E7B4-494B-B56A-FCC58CC9DE96}">
  <dimension ref="A1:B2"/>
  <sheetViews>
    <sheetView workbookViewId="0">
      <selection activeCell="B3" sqref="B3"/>
    </sheetView>
  </sheetViews>
  <sheetFormatPr defaultRowHeight="16.5"/>
  <sheetData>
    <row r="1" spans="1:2">
      <c r="A1" t="s">
        <v>150</v>
      </c>
      <c r="B1" t="s">
        <v>192</v>
      </c>
    </row>
    <row r="2" spans="1:2">
      <c r="A2" t="s">
        <v>151</v>
      </c>
      <c r="B2" t="s">
        <v>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스탯계산기</vt:lpstr>
      <vt:lpstr>커리어계산기</vt:lpstr>
      <vt:lpstr>스킬정보</vt:lpstr>
      <vt:lpstr>등급정보</vt:lpstr>
      <vt:lpstr>커리어 정보</vt:lpstr>
      <vt:lpstr>기본정보</vt:lpstr>
      <vt:lpstr>타자스킬</vt:lpstr>
      <vt:lpstr>투수스킬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 Chuel Kim</dc:creator>
  <cp:lastModifiedBy>Dae Chuel Kim</cp:lastModifiedBy>
  <dcterms:created xsi:type="dcterms:W3CDTF">2026-03-11T12:44:16Z</dcterms:created>
  <dcterms:modified xsi:type="dcterms:W3CDTF">2026-04-08T15:33:04Z</dcterms:modified>
</cp:coreProperties>
</file>